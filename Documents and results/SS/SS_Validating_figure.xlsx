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sn-my.sharepoint.com/personal/266754_usn_no/Documents/USN/26V Bachelor/K-Spice/"/>
    </mc:Choice>
  </mc:AlternateContent>
  <xr:revisionPtr revIDLastSave="201" documentId="8_{3C35DE82-5A6D-4825-BC1D-AD4887AC6B8F}" xr6:coauthVersionLast="47" xr6:coauthVersionMax="47" xr10:uidLastSave="{0825F794-86D7-4E9B-9DDB-B54A4B53ADC2}"/>
  <bookViews>
    <workbookView xWindow="-108" yWindow="-108" windowWidth="23256" windowHeight="12456" xr2:uid="{624A5003-72B0-459F-8884-AB0CABA933F0}"/>
  </bookViews>
  <sheets>
    <sheet name="SS case 3 (v19.5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6" i="1" l="1"/>
  <c r="G56" i="1" s="1"/>
  <c r="G55" i="1"/>
  <c r="G54" i="1"/>
</calcChain>
</file>

<file path=xl/sharedStrings.xml><?xml version="1.0" encoding="utf-8"?>
<sst xmlns="http://schemas.openxmlformats.org/spreadsheetml/2006/main" count="212" uniqueCount="153">
  <si>
    <t>FT06</t>
  </si>
  <si>
    <t>m3/h</t>
  </si>
  <si>
    <t>FT_100</t>
  </si>
  <si>
    <t>kg/h</t>
  </si>
  <si>
    <t>TA08</t>
  </si>
  <si>
    <t>degC</t>
  </si>
  <si>
    <t>HE_04/05/06</t>
  </si>
  <si>
    <t>kW</t>
  </si>
  <si>
    <t>TAB</t>
  </si>
  <si>
    <t>mol/mol</t>
  </si>
  <si>
    <t>PI_100</t>
  </si>
  <si>
    <t>mbara</t>
  </si>
  <si>
    <t>PT_02</t>
  </si>
  <si>
    <t>barg</t>
  </si>
  <si>
    <t>TT_01</t>
  </si>
  <si>
    <t>TT_02</t>
  </si>
  <si>
    <t xml:space="preserve"> </t>
  </si>
  <si>
    <t>00FT001</t>
  </si>
  <si>
    <t>PI_103</t>
  </si>
  <si>
    <t>00PT001</t>
  </si>
  <si>
    <t>00TAB000</t>
  </si>
  <si>
    <t>00FT003</t>
  </si>
  <si>
    <t>LeanAmineInput</t>
  </si>
  <si>
    <t>02TT002</t>
  </si>
  <si>
    <t>ABSORBER</t>
  </si>
  <si>
    <t>CO2_IN</t>
  </si>
  <si>
    <t>GasToAbsorber</t>
  </si>
  <si>
    <t>%</t>
  </si>
  <si>
    <t>GasFromAbsorber</t>
  </si>
  <si>
    <t>CO2_OUT</t>
  </si>
  <si>
    <t>00PI100</t>
  </si>
  <si>
    <t>PI_102</t>
  </si>
  <si>
    <t>00PI102</t>
  </si>
  <si>
    <t>TA00</t>
  </si>
  <si>
    <t>00TA000</t>
  </si>
  <si>
    <t>TA01</t>
  </si>
  <si>
    <t>00TA001</t>
  </si>
  <si>
    <t>TA02</t>
  </si>
  <si>
    <t>00TA002</t>
  </si>
  <si>
    <t>TA03</t>
  </si>
  <si>
    <t>00TA003</t>
  </si>
  <si>
    <t>TA04</t>
  </si>
  <si>
    <t>00TA004</t>
  </si>
  <si>
    <t>TA05</t>
  </si>
  <si>
    <t>00TA005</t>
  </si>
  <si>
    <t>TA06</t>
  </si>
  <si>
    <t>00TA006</t>
  </si>
  <si>
    <t>TA07</t>
  </si>
  <si>
    <t>00TA007</t>
  </si>
  <si>
    <t>TI_15</t>
  </si>
  <si>
    <t>00TI015</t>
  </si>
  <si>
    <t>l</t>
  </si>
  <si>
    <t>PT11 + LT_01</t>
  </si>
  <si>
    <t>00QIT001</t>
  </si>
  <si>
    <t>FT_101</t>
  </si>
  <si>
    <t>00FT101</t>
  </si>
  <si>
    <t>TI_03</t>
  </si>
  <si>
    <t>00TI003</t>
  </si>
  <si>
    <t>TI_04</t>
  </si>
  <si>
    <t>00TI004</t>
  </si>
  <si>
    <t>DESORBER</t>
  </si>
  <si>
    <t>TS01</t>
  </si>
  <si>
    <t>01TS001</t>
  </si>
  <si>
    <t>TS02</t>
  </si>
  <si>
    <t>01TS002</t>
  </si>
  <si>
    <t>TS03</t>
  </si>
  <si>
    <t>01TS003</t>
  </si>
  <si>
    <t>TS04</t>
  </si>
  <si>
    <t>01TS004</t>
  </si>
  <si>
    <t>TS05</t>
  </si>
  <si>
    <t>01TS005</t>
  </si>
  <si>
    <t>TI_07</t>
  </si>
  <si>
    <t>01TI007</t>
  </si>
  <si>
    <t>TI_09</t>
  </si>
  <si>
    <t>01TI009</t>
  </si>
  <si>
    <t>TI_11</t>
  </si>
  <si>
    <t>01TI011</t>
  </si>
  <si>
    <t>REBOILER</t>
  </si>
  <si>
    <t>FT_EH</t>
  </si>
  <si>
    <t>04FT001</t>
  </si>
  <si>
    <t>02QI001</t>
  </si>
  <si>
    <t>LT_02</t>
  </si>
  <si>
    <t>02QIT001</t>
  </si>
  <si>
    <t>02PI002</t>
  </si>
  <si>
    <t>TI_08</t>
  </si>
  <si>
    <t>04TI008</t>
  </si>
  <si>
    <t>TI10</t>
  </si>
  <si>
    <t>02TI010</t>
  </si>
  <si>
    <t>CONDENSER</t>
  </si>
  <si>
    <t>FT_EM</t>
  </si>
  <si>
    <t>04FT004</t>
  </si>
  <si>
    <t>PT_04</t>
  </si>
  <si>
    <t>04PT004</t>
  </si>
  <si>
    <t>TT103</t>
  </si>
  <si>
    <t>01TT103</t>
  </si>
  <si>
    <t>TI_06</t>
  </si>
  <si>
    <t>01TI006</t>
  </si>
  <si>
    <t>03TT001</t>
  </si>
  <si>
    <t>04TT002</t>
  </si>
  <si>
    <t>RAL</t>
  </si>
  <si>
    <t>LAL</t>
  </si>
  <si>
    <t>CCR</t>
  </si>
  <si>
    <t>Pilot</t>
  </si>
  <si>
    <t>Forsøk 3 - Beste</t>
  </si>
  <si>
    <t>Forsøk 7 - Dårligste</t>
  </si>
  <si>
    <t>Navn i litteratur</t>
  </si>
  <si>
    <t>Navn in model</t>
  </si>
  <si>
    <t>K-Spice</t>
  </si>
  <si>
    <t>% Avvik</t>
  </si>
  <si>
    <t>Enhet</t>
  </si>
  <si>
    <t>STRØMNING INN I ABSORBER</t>
  </si>
  <si>
    <t>STRØMNING UT AV ABSORBER</t>
  </si>
  <si>
    <t>NØKKELINDIKATORER</t>
  </si>
  <si>
    <t>CO2-strømning</t>
  </si>
  <si>
    <t>Trykk røykgass</t>
  </si>
  <si>
    <t>Temperatur røykgass</t>
  </si>
  <si>
    <t>Strømning av MEA</t>
  </si>
  <si>
    <t>Temperatur på MEA inn i absorber</t>
  </si>
  <si>
    <t>Temperatur på MEA før sink</t>
  </si>
  <si>
    <t>% CO2 i røykgass</t>
  </si>
  <si>
    <t>% CO2 i renset røykgass</t>
  </si>
  <si>
    <t>Kommentar</t>
  </si>
  <si>
    <t>Trykk i topp</t>
  </si>
  <si>
    <t>Trykk i bunn</t>
  </si>
  <si>
    <t>Temperatur i sump</t>
  </si>
  <si>
    <t>Temperatur i packing 1</t>
  </si>
  <si>
    <t>Temperatur i packing 2</t>
  </si>
  <si>
    <t>Temperatur i packing 3</t>
  </si>
  <si>
    <t>Temperatur i packing 4</t>
  </si>
  <si>
    <t>Temperatur i packing 5</t>
  </si>
  <si>
    <t>Temperatur i packing 6</t>
  </si>
  <si>
    <t>Temperatur i packing 7</t>
  </si>
  <si>
    <t>Temperatur i topp</t>
  </si>
  <si>
    <t>Strøming CO2-rik amine</t>
  </si>
  <si>
    <t>Temperatur renset røykgass</t>
  </si>
  <si>
    <t>Temperatur CO2-rik amin etter pumpe</t>
  </si>
  <si>
    <t>Temperatur CO2-rik amin inn i desorber</t>
  </si>
  <si>
    <t>Strømning vann fra condenser til reboiler</t>
  </si>
  <si>
    <t>Varmekilde</t>
  </si>
  <si>
    <t>Nivå</t>
  </si>
  <si>
    <t>Trykk</t>
  </si>
  <si>
    <t>Temperatur på vann fra condenser til reboiler</t>
  </si>
  <si>
    <t>Temperatur på væske</t>
  </si>
  <si>
    <t>Strømning renset gass</t>
  </si>
  <si>
    <t>Trykk etter condenser</t>
  </si>
  <si>
    <t>Temperatur i kjølekrets EX03</t>
  </si>
  <si>
    <t>Temperatur fanget CO2</t>
  </si>
  <si>
    <t>Temperatur CO2-fattig MEA etter EX01</t>
  </si>
  <si>
    <t>Temperatur CO2-rik MEA etter EX01</t>
  </si>
  <si>
    <t>CO2-rik amin etter absorber</t>
  </si>
  <si>
    <t>CO2-fattig amin etter desorber før sink</t>
  </si>
  <si>
    <t>Karbonfangstprosent</t>
  </si>
  <si>
    <t>Absorber sump i K-spice = PT11 + LT_01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</si>
</sst>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onsolas"/>
      <charset val="1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0" fillId="3" borderId="0" xfId="0" applyNumberFormat="1" applyFill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0" fillId="3" borderId="8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10" xfId="0" applyNumberFormat="1" applyBorder="1"/>
    <xf numFmtId="0" fontId="0" fillId="0" borderId="11" xfId="0" applyBorder="1"/>
    <xf numFmtId="2" fontId="0" fillId="3" borderId="5" xfId="0" applyNumberFormat="1" applyFill="1" applyBorder="1"/>
    <xf numFmtId="0" fontId="0" fillId="3" borderId="6" xfId="0" applyFill="1" applyBorder="1"/>
    <xf numFmtId="2" fontId="0" fillId="3" borderId="4" xfId="0" applyNumberFormat="1" applyFill="1" applyBorder="1"/>
    <xf numFmtId="2" fontId="0" fillId="3" borderId="6" xfId="0" applyNumberFormat="1" applyFill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2" fontId="0" fillId="3" borderId="7" xfId="0" applyNumberFormat="1" applyFill="1" applyBorder="1"/>
    <xf numFmtId="2" fontId="0" fillId="3" borderId="8" xfId="0" applyNumberFormat="1" applyFill="1" applyBorder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9618-2741-47ED-818C-2B5A689B4794}">
  <sheetPr>
    <pageSetUpPr fitToPage="1"/>
  </sheetPr>
  <dimension ref="B1:K96"/>
  <sheetViews>
    <sheetView tabSelected="1" zoomScale="55" zoomScaleNormal="55" workbookViewId="0">
      <selection activeCell="N25" sqref="N25"/>
    </sheetView>
  </sheetViews>
  <sheetFormatPr baseColWidth="10" defaultColWidth="8.88671875" defaultRowHeight="14.4" x14ac:dyDescent="0.3"/>
  <cols>
    <col min="1" max="1" width="0.77734375" customWidth="1"/>
    <col min="2" max="3" width="21.88671875" customWidth="1"/>
    <col min="4" max="4" width="9" customWidth="1"/>
    <col min="5" max="5" width="9.6640625" customWidth="1"/>
    <col min="6" max="6" width="11.77734375" customWidth="1"/>
    <col min="7" max="7" width="11.44140625" customWidth="1"/>
    <col min="8" max="8" width="9.6640625" customWidth="1"/>
    <col min="9" max="9" width="11.77734375" customWidth="1"/>
    <col min="10" max="10" width="11.44140625" customWidth="1"/>
    <col min="11" max="11" width="42.88671875" customWidth="1"/>
  </cols>
  <sheetData>
    <row r="1" spans="2:11" ht="3.6" customHeight="1" thickBot="1" x14ac:dyDescent="0.35"/>
    <row r="2" spans="2:11" ht="15" thickBot="1" x14ac:dyDescent="0.35">
      <c r="E2" s="30" t="s">
        <v>103</v>
      </c>
      <c r="F2" s="31"/>
      <c r="G2" s="32"/>
      <c r="H2" s="30" t="s">
        <v>104</v>
      </c>
      <c r="I2" s="31"/>
      <c r="J2" s="32"/>
    </row>
    <row r="3" spans="2:11" ht="29.4" customHeight="1" thickBot="1" x14ac:dyDescent="0.45">
      <c r="B3" s="6" t="s">
        <v>105</v>
      </c>
      <c r="C3" s="7" t="s">
        <v>106</v>
      </c>
      <c r="D3" s="7" t="s">
        <v>109</v>
      </c>
      <c r="E3" s="6" t="s">
        <v>102</v>
      </c>
      <c r="F3" s="7" t="s">
        <v>107</v>
      </c>
      <c r="G3" s="8" t="s">
        <v>108</v>
      </c>
      <c r="H3" s="6" t="s">
        <v>102</v>
      </c>
      <c r="I3" s="7" t="s">
        <v>107</v>
      </c>
      <c r="J3" s="8" t="s">
        <v>108</v>
      </c>
      <c r="K3" s="8" t="s">
        <v>121</v>
      </c>
    </row>
    <row r="4" spans="2:11" x14ac:dyDescent="0.3">
      <c r="B4" s="28" t="s">
        <v>110</v>
      </c>
      <c r="C4" s="29"/>
      <c r="D4" s="29"/>
      <c r="E4" s="18"/>
      <c r="F4" s="16"/>
      <c r="G4" s="19"/>
      <c r="H4" s="18"/>
      <c r="I4" s="16"/>
      <c r="J4" s="19"/>
      <c r="K4" s="17"/>
    </row>
    <row r="5" spans="2:11" x14ac:dyDescent="0.3">
      <c r="B5" s="10" t="s">
        <v>0</v>
      </c>
      <c r="C5" t="s">
        <v>17</v>
      </c>
      <c r="D5" t="s">
        <v>1</v>
      </c>
      <c r="E5" s="20">
        <v>127.02</v>
      </c>
      <c r="F5" s="3">
        <v>127.01999999803807</v>
      </c>
      <c r="G5" s="21">
        <v>-1.5445773738555804E-9</v>
      </c>
      <c r="H5" s="20">
        <v>118.87</v>
      </c>
      <c r="I5" s="3">
        <v>118.8699999990155</v>
      </c>
      <c r="J5" s="21">
        <v>-8.2821535539645355E-10</v>
      </c>
      <c r="K5" s="11" t="s">
        <v>113</v>
      </c>
    </row>
    <row r="6" spans="2:11" x14ac:dyDescent="0.3">
      <c r="B6" s="10" t="s">
        <v>18</v>
      </c>
      <c r="C6" t="s">
        <v>19</v>
      </c>
      <c r="D6" t="s">
        <v>11</v>
      </c>
      <c r="E6" s="20">
        <v>1056.4000000000001</v>
      </c>
      <c r="F6" s="3">
        <v>1044.9989053971124</v>
      </c>
      <c r="G6" s="21">
        <v>-1.079240306975362</v>
      </c>
      <c r="H6" s="20">
        <v>1045.31</v>
      </c>
      <c r="I6" s="3">
        <v>1036.6708291032162</v>
      </c>
      <c r="J6" s="21">
        <v>-0.82646974550934682</v>
      </c>
      <c r="K6" s="11" t="s">
        <v>114</v>
      </c>
    </row>
    <row r="7" spans="2:11" x14ac:dyDescent="0.3">
      <c r="B7" s="10" t="s">
        <v>8</v>
      </c>
      <c r="C7" t="s">
        <v>20</v>
      </c>
      <c r="D7" t="s">
        <v>5</v>
      </c>
      <c r="E7" s="20">
        <v>46.680000000001826</v>
      </c>
      <c r="F7" s="3">
        <v>46.680000000001826</v>
      </c>
      <c r="G7" s="21">
        <v>0</v>
      </c>
      <c r="H7">
        <v>39.579999999999984</v>
      </c>
      <c r="I7" s="3">
        <v>39.580000000024768</v>
      </c>
      <c r="J7" s="21">
        <v>0</v>
      </c>
      <c r="K7" s="11" t="s">
        <v>115</v>
      </c>
    </row>
    <row r="8" spans="2:11" x14ac:dyDescent="0.3">
      <c r="B8" s="10" t="s">
        <v>2</v>
      </c>
      <c r="C8" t="s">
        <v>21</v>
      </c>
      <c r="D8" t="s">
        <v>3</v>
      </c>
      <c r="E8" s="20">
        <v>152.07</v>
      </c>
      <c r="F8" s="3">
        <v>152.09999999650313</v>
      </c>
      <c r="G8" s="21">
        <v>1.9727754654524969E-2</v>
      </c>
      <c r="H8" s="20">
        <v>238.82</v>
      </c>
      <c r="I8" s="3">
        <v>238.80000000472435</v>
      </c>
      <c r="J8" s="21">
        <v>-8.3745060194456086E-3</v>
      </c>
      <c r="K8" s="11" t="s">
        <v>116</v>
      </c>
    </row>
    <row r="9" spans="2:11" x14ac:dyDescent="0.3">
      <c r="B9" s="10" t="s">
        <v>4</v>
      </c>
      <c r="C9" t="s">
        <v>22</v>
      </c>
      <c r="D9" t="s">
        <v>5</v>
      </c>
      <c r="E9" s="20">
        <v>57.95</v>
      </c>
      <c r="F9" s="3">
        <v>57.955227790360425</v>
      </c>
      <c r="G9" s="21">
        <v>9.0212085598310454E-3</v>
      </c>
      <c r="H9" s="20">
        <v>50.02</v>
      </c>
      <c r="I9" s="3">
        <v>50.024803609462822</v>
      </c>
      <c r="J9" s="21">
        <v>9.6033775746076962E-3</v>
      </c>
      <c r="K9" s="11" t="s">
        <v>117</v>
      </c>
    </row>
    <row r="10" spans="2:11" ht="15" thickBot="1" x14ac:dyDescent="0.35">
      <c r="B10" s="12" t="s">
        <v>4</v>
      </c>
      <c r="C10" s="13" t="s">
        <v>23</v>
      </c>
      <c r="D10" s="13" t="s">
        <v>5</v>
      </c>
      <c r="E10" s="22">
        <v>57.95</v>
      </c>
      <c r="F10" s="14">
        <v>33.330483778151972</v>
      </c>
      <c r="G10" s="23">
        <v>-42.484065956597114</v>
      </c>
      <c r="H10" s="22">
        <v>50.02</v>
      </c>
      <c r="I10" s="14">
        <v>37.218543475037052</v>
      </c>
      <c r="J10" s="23">
        <v>-25.5926759795341</v>
      </c>
      <c r="K10" s="15" t="s">
        <v>118</v>
      </c>
    </row>
    <row r="11" spans="2:11" x14ac:dyDescent="0.3">
      <c r="B11" s="28" t="s">
        <v>24</v>
      </c>
      <c r="C11" s="29"/>
      <c r="D11" s="29"/>
      <c r="E11" s="18"/>
      <c r="F11" s="16"/>
      <c r="G11" s="19" t="s">
        <v>16</v>
      </c>
      <c r="H11" s="18"/>
      <c r="I11" s="16"/>
      <c r="J11" s="19" t="s">
        <v>16</v>
      </c>
      <c r="K11" s="17"/>
    </row>
    <row r="12" spans="2:11" x14ac:dyDescent="0.3">
      <c r="B12" s="10" t="s">
        <v>25</v>
      </c>
      <c r="C12" t="s">
        <v>26</v>
      </c>
      <c r="D12" t="s">
        <v>27</v>
      </c>
      <c r="E12" s="20">
        <v>7.7</v>
      </c>
      <c r="F12" s="3">
        <v>7.7</v>
      </c>
      <c r="G12" s="21">
        <v>0</v>
      </c>
      <c r="H12" s="3">
        <v>4.823783128921745</v>
      </c>
      <c r="I12" s="3">
        <v>4.823783128921745</v>
      </c>
      <c r="J12" s="21">
        <v>0</v>
      </c>
      <c r="K12" s="11" t="s">
        <v>119</v>
      </c>
    </row>
    <row r="13" spans="2:11" x14ac:dyDescent="0.3">
      <c r="B13" s="10" t="s">
        <v>29</v>
      </c>
      <c r="C13" t="s">
        <v>28</v>
      </c>
      <c r="D13" t="s">
        <v>27</v>
      </c>
      <c r="E13" s="20">
        <v>3.05</v>
      </c>
      <c r="F13" s="3">
        <v>3.0951410962851846</v>
      </c>
      <c r="G13" s="21">
        <v>1.4800359437765513</v>
      </c>
      <c r="H13" s="20">
        <v>1.38</v>
      </c>
      <c r="I13" s="3">
        <v>0.33046727791756508</v>
      </c>
      <c r="J13" s="21">
        <v>-76.053095803074996</v>
      </c>
      <c r="K13" s="11" t="s">
        <v>120</v>
      </c>
    </row>
    <row r="14" spans="2:11" x14ac:dyDescent="0.3">
      <c r="B14" s="10" t="s">
        <v>10</v>
      </c>
      <c r="C14" t="s">
        <v>30</v>
      </c>
      <c r="D14" t="s">
        <v>11</v>
      </c>
      <c r="E14" s="20">
        <v>1040.05</v>
      </c>
      <c r="F14" s="3">
        <v>1040.0500000102845</v>
      </c>
      <c r="G14" s="21">
        <v>9.8885304433904833E-10</v>
      </c>
      <c r="H14" s="20">
        <v>1031.27</v>
      </c>
      <c r="I14" s="3">
        <v>1031.270000037619</v>
      </c>
      <c r="J14" s="21">
        <v>3.6478298216842094E-9</v>
      </c>
      <c r="K14" s="11" t="s">
        <v>122</v>
      </c>
    </row>
    <row r="15" spans="2:11" x14ac:dyDescent="0.3">
      <c r="B15" s="10" t="s">
        <v>31</v>
      </c>
      <c r="C15" t="s">
        <v>32</v>
      </c>
      <c r="D15" t="s">
        <v>11</v>
      </c>
      <c r="E15" s="20">
        <v>1048.1300000000001</v>
      </c>
      <c r="F15" s="3">
        <v>1044.6892210259784</v>
      </c>
      <c r="G15" s="21">
        <v>-0.32827788289827292</v>
      </c>
      <c r="H15" s="20">
        <v>1041.48</v>
      </c>
      <c r="I15" s="3">
        <v>1036.367752101314</v>
      </c>
      <c r="J15" s="21">
        <v>-0.49086376105984408</v>
      </c>
      <c r="K15" s="11" t="s">
        <v>123</v>
      </c>
    </row>
    <row r="16" spans="2:11" x14ac:dyDescent="0.3">
      <c r="B16" s="10" t="s">
        <v>33</v>
      </c>
      <c r="C16" t="s">
        <v>34</v>
      </c>
      <c r="D16" t="s">
        <v>5</v>
      </c>
      <c r="E16" s="20">
        <v>47.91</v>
      </c>
      <c r="F16" s="3">
        <v>33.407466526565656</v>
      </c>
      <c r="G16" s="21">
        <v>-30.270368343632523</v>
      </c>
      <c r="H16" s="20">
        <v>39.159999999999997</v>
      </c>
      <c r="I16" s="3">
        <v>35.904201654376095</v>
      </c>
      <c r="J16" s="21">
        <v>-8.3140917916851418</v>
      </c>
      <c r="K16" s="11" t="s">
        <v>124</v>
      </c>
    </row>
    <row r="17" spans="2:11" x14ac:dyDescent="0.3">
      <c r="B17" s="10" t="s">
        <v>35</v>
      </c>
      <c r="C17" t="s">
        <v>36</v>
      </c>
      <c r="D17" t="s">
        <v>5</v>
      </c>
      <c r="E17" s="20">
        <v>48.73</v>
      </c>
      <c r="F17" s="3">
        <v>33.379692668646101</v>
      </c>
      <c r="G17" s="21">
        <v>-31.500733288228808</v>
      </c>
      <c r="H17" s="20">
        <v>40.79</v>
      </c>
      <c r="I17" s="3">
        <v>35.889482762990951</v>
      </c>
      <c r="J17" s="21">
        <v>-12.014016271167069</v>
      </c>
      <c r="K17" s="11" t="s">
        <v>125</v>
      </c>
    </row>
    <row r="18" spans="2:11" x14ac:dyDescent="0.3">
      <c r="B18" s="10" t="s">
        <v>37</v>
      </c>
      <c r="C18" t="s">
        <v>38</v>
      </c>
      <c r="D18" t="s">
        <v>5</v>
      </c>
      <c r="E18" s="20">
        <v>48.67</v>
      </c>
      <c r="F18" s="3">
        <v>34.145114000460694</v>
      </c>
      <c r="G18" s="21">
        <v>-29.843612080417728</v>
      </c>
      <c r="H18" s="20">
        <v>43.82</v>
      </c>
      <c r="I18" s="3">
        <v>43.406355374555176</v>
      </c>
      <c r="J18" s="21">
        <v>-0.94396308864633616</v>
      </c>
      <c r="K18" s="11" t="s">
        <v>126</v>
      </c>
    </row>
    <row r="19" spans="2:11" x14ac:dyDescent="0.3">
      <c r="B19" s="10" t="s">
        <v>39</v>
      </c>
      <c r="C19" t="s">
        <v>40</v>
      </c>
      <c r="D19" t="s">
        <v>5</v>
      </c>
      <c r="E19" s="20">
        <v>48.61</v>
      </c>
      <c r="F19" s="3">
        <v>35.143119388096864</v>
      </c>
      <c r="G19" s="21">
        <v>-27.703930491469116</v>
      </c>
      <c r="H19" s="20">
        <v>45.76</v>
      </c>
      <c r="I19" s="3">
        <v>48.993843483749117</v>
      </c>
      <c r="J19" s="21">
        <v>7.066965655046153</v>
      </c>
      <c r="K19" s="11" t="s">
        <v>127</v>
      </c>
    </row>
    <row r="20" spans="2:11" x14ac:dyDescent="0.3">
      <c r="B20" s="10" t="s">
        <v>41</v>
      </c>
      <c r="C20" t="s">
        <v>42</v>
      </c>
      <c r="D20" t="s">
        <v>5</v>
      </c>
      <c r="E20" s="20">
        <v>48.67</v>
      </c>
      <c r="F20" s="3">
        <v>36.447386700658456</v>
      </c>
      <c r="G20" s="21">
        <v>-25.113238749417601</v>
      </c>
      <c r="H20" s="20">
        <v>47.36</v>
      </c>
      <c r="I20" s="3">
        <v>54.214049098595808</v>
      </c>
      <c r="J20" s="21">
        <v>14.472232049399933</v>
      </c>
      <c r="K20" s="11" t="s">
        <v>128</v>
      </c>
    </row>
    <row r="21" spans="2:11" x14ac:dyDescent="0.3">
      <c r="B21" s="10" t="s">
        <v>43</v>
      </c>
      <c r="C21" t="s">
        <v>44</v>
      </c>
      <c r="D21" t="s">
        <v>5</v>
      </c>
      <c r="E21" s="20">
        <v>50.85</v>
      </c>
      <c r="F21" s="3">
        <v>38.291267568742967</v>
      </c>
      <c r="G21" s="21">
        <v>-24.697605567860442</v>
      </c>
      <c r="H21" s="20">
        <v>52.69</v>
      </c>
      <c r="I21" s="3">
        <v>58.142799771664329</v>
      </c>
      <c r="J21" s="21">
        <v>10.348832362240143</v>
      </c>
      <c r="K21" s="11" t="s">
        <v>129</v>
      </c>
    </row>
    <row r="22" spans="2:11" x14ac:dyDescent="0.3">
      <c r="B22" s="10" t="s">
        <v>45</v>
      </c>
      <c r="C22" t="s">
        <v>46</v>
      </c>
      <c r="D22" t="s">
        <v>5</v>
      </c>
      <c r="E22" s="20">
        <v>56.46</v>
      </c>
      <c r="F22" s="3">
        <v>41.111043128031554</v>
      </c>
      <c r="G22" s="21">
        <v>-27.185541749855556</v>
      </c>
      <c r="H22" s="20">
        <v>55.6</v>
      </c>
      <c r="I22" s="3">
        <v>59.211532871890199</v>
      </c>
      <c r="J22" s="21">
        <v>6.4955627192269745</v>
      </c>
      <c r="K22" s="11" t="s">
        <v>130</v>
      </c>
    </row>
    <row r="23" spans="2:11" x14ac:dyDescent="0.3">
      <c r="B23" s="10" t="s">
        <v>47</v>
      </c>
      <c r="C23" t="s">
        <v>48</v>
      </c>
      <c r="D23" t="s">
        <v>5</v>
      </c>
      <c r="E23" s="20">
        <v>58.9</v>
      </c>
      <c r="F23" s="3">
        <v>45.856550608696296</v>
      </c>
      <c r="G23" s="21">
        <v>-22.145075367238885</v>
      </c>
      <c r="H23" s="20">
        <v>54.88</v>
      </c>
      <c r="I23" s="3">
        <v>59.200287970896568</v>
      </c>
      <c r="J23" s="21">
        <v>7.8722448449281437</v>
      </c>
      <c r="K23" s="11" t="s">
        <v>131</v>
      </c>
    </row>
    <row r="24" spans="2:11" x14ac:dyDescent="0.3">
      <c r="B24" s="10" t="s">
        <v>49</v>
      </c>
      <c r="C24" t="s">
        <v>50</v>
      </c>
      <c r="D24" t="s">
        <v>5</v>
      </c>
      <c r="E24" s="20">
        <v>57.2</v>
      </c>
      <c r="F24" s="3">
        <v>61.946696196169171</v>
      </c>
      <c r="G24" s="21">
        <v>8.2984199233726716</v>
      </c>
      <c r="H24" s="20">
        <v>47.26</v>
      </c>
      <c r="I24" s="3">
        <v>50.5936687822728</v>
      </c>
      <c r="J24" s="21">
        <v>7.0538907792484187</v>
      </c>
      <c r="K24" s="11" t="s">
        <v>132</v>
      </c>
    </row>
    <row r="25" spans="2:11" ht="15" thickBot="1" x14ac:dyDescent="0.35">
      <c r="B25" s="12" t="s">
        <v>52</v>
      </c>
      <c r="C25" s="13" t="s">
        <v>53</v>
      </c>
      <c r="D25" s="13" t="s">
        <v>51</v>
      </c>
      <c r="E25" s="22">
        <v>18.29</v>
      </c>
      <c r="F25" s="14">
        <v>17.450564382408317</v>
      </c>
      <c r="G25" s="23">
        <v>-4.5895878490523927</v>
      </c>
      <c r="H25" s="22">
        <v>18.73</v>
      </c>
      <c r="I25" s="14">
        <v>17.450567831754189</v>
      </c>
      <c r="J25" s="23">
        <v>-6.8309245501645055</v>
      </c>
      <c r="K25" s="15" t="s">
        <v>152</v>
      </c>
    </row>
    <row r="26" spans="2:11" x14ac:dyDescent="0.3">
      <c r="B26" s="28" t="s">
        <v>111</v>
      </c>
      <c r="C26" s="29"/>
      <c r="D26" s="29"/>
      <c r="E26" s="18"/>
      <c r="F26" s="16"/>
      <c r="G26" s="19" t="s">
        <v>16</v>
      </c>
      <c r="H26" s="18"/>
      <c r="I26" s="16"/>
      <c r="J26" s="19" t="s">
        <v>16</v>
      </c>
      <c r="K26" s="17"/>
    </row>
    <row r="27" spans="2:11" x14ac:dyDescent="0.3">
      <c r="B27" s="10" t="s">
        <v>54</v>
      </c>
      <c r="C27" t="s">
        <v>55</v>
      </c>
      <c r="D27" t="s">
        <v>3</v>
      </c>
      <c r="E27" s="20">
        <v>156.94999999999999</v>
      </c>
      <c r="F27" s="3">
        <v>147.08720890809013</v>
      </c>
      <c r="G27" s="21">
        <v>-6.2840338272761107</v>
      </c>
      <c r="H27" s="20">
        <v>241.74</v>
      </c>
      <c r="I27" s="3">
        <v>234.69509529367147</v>
      </c>
      <c r="J27" s="21">
        <v>-2.9142486581982863</v>
      </c>
      <c r="K27" s="11" t="s">
        <v>133</v>
      </c>
    </row>
    <row r="28" spans="2:11" x14ac:dyDescent="0.3">
      <c r="B28" s="10" t="s">
        <v>56</v>
      </c>
      <c r="C28" t="s">
        <v>57</v>
      </c>
      <c r="D28" t="s">
        <v>5</v>
      </c>
      <c r="E28" s="20">
        <v>51.62</v>
      </c>
      <c r="F28" s="3">
        <v>57.94637571559025</v>
      </c>
      <c r="G28" s="21">
        <v>12.255667794634352</v>
      </c>
      <c r="H28" s="20">
        <v>43.21</v>
      </c>
      <c r="I28" s="3">
        <v>56.32412944696847</v>
      </c>
      <c r="J28" s="21">
        <v>30.34975572082497</v>
      </c>
      <c r="K28" s="11" t="s">
        <v>134</v>
      </c>
    </row>
    <row r="29" spans="2:11" x14ac:dyDescent="0.3">
      <c r="B29" s="10" t="s">
        <v>58</v>
      </c>
      <c r="C29" t="s">
        <v>59</v>
      </c>
      <c r="D29" t="s">
        <v>5</v>
      </c>
      <c r="E29" s="20">
        <v>46.72</v>
      </c>
      <c r="F29" s="3">
        <v>33.445426430387101</v>
      </c>
      <c r="G29" s="21">
        <v>-28.413042743178295</v>
      </c>
      <c r="H29" s="20">
        <v>38.56</v>
      </c>
      <c r="I29" s="3">
        <v>35.951483620379634</v>
      </c>
      <c r="J29" s="21">
        <v>-6.7648246359449393</v>
      </c>
      <c r="K29" s="11" t="s">
        <v>135</v>
      </c>
    </row>
    <row r="30" spans="2:11" ht="15" thickBot="1" x14ac:dyDescent="0.35">
      <c r="B30" s="12" t="s">
        <v>95</v>
      </c>
      <c r="C30" s="13" t="s">
        <v>96</v>
      </c>
      <c r="D30" s="13" t="s">
        <v>5</v>
      </c>
      <c r="E30" s="22">
        <v>109.62</v>
      </c>
      <c r="F30" s="14">
        <v>107.36307444718216</v>
      </c>
      <c r="G30" s="23">
        <v>-2.0588629381662535</v>
      </c>
      <c r="H30" s="22">
        <v>105.44</v>
      </c>
      <c r="I30" s="14">
        <v>104.24544957232973</v>
      </c>
      <c r="J30" s="23">
        <v>-1.1329196013564728</v>
      </c>
      <c r="K30" s="15" t="s">
        <v>148</v>
      </c>
    </row>
    <row r="31" spans="2:11" x14ac:dyDescent="0.3">
      <c r="B31" s="28" t="s">
        <v>60</v>
      </c>
      <c r="C31" s="29"/>
      <c r="D31" s="29"/>
      <c r="E31" s="24"/>
      <c r="F31" s="5"/>
      <c r="G31" s="25" t="s">
        <v>16</v>
      </c>
      <c r="H31" s="24"/>
      <c r="I31" s="5"/>
      <c r="J31" s="25" t="s">
        <v>16</v>
      </c>
      <c r="K31" s="9"/>
    </row>
    <row r="32" spans="2:11" x14ac:dyDescent="0.3">
      <c r="B32" s="10" t="s">
        <v>61</v>
      </c>
      <c r="C32" t="s">
        <v>62</v>
      </c>
      <c r="D32" t="s">
        <v>5</v>
      </c>
      <c r="E32" s="20">
        <v>120.65</v>
      </c>
      <c r="F32" s="3">
        <v>114.74472168159889</v>
      </c>
      <c r="G32" s="21">
        <v>-4.8945531026946671</v>
      </c>
      <c r="H32" s="20">
        <v>113.24</v>
      </c>
      <c r="I32" s="3">
        <v>101.74053752693146</v>
      </c>
      <c r="J32" s="21">
        <v>-10.154947432946427</v>
      </c>
      <c r="K32" s="11" t="s">
        <v>125</v>
      </c>
    </row>
    <row r="33" spans="2:11" x14ac:dyDescent="0.3">
      <c r="B33" s="10" t="s">
        <v>63</v>
      </c>
      <c r="C33" t="s">
        <v>64</v>
      </c>
      <c r="D33" t="s">
        <v>5</v>
      </c>
      <c r="E33" s="20">
        <v>114.29</v>
      </c>
      <c r="F33" s="3">
        <v>112.98198993708019</v>
      </c>
      <c r="G33" s="21">
        <v>-1.1444658875840579</v>
      </c>
      <c r="H33" s="20">
        <v>101.82</v>
      </c>
      <c r="I33" s="3">
        <v>98.387182682445143</v>
      </c>
      <c r="J33" s="21">
        <v>-3.3714568037270185</v>
      </c>
      <c r="K33" s="11" t="s">
        <v>126</v>
      </c>
    </row>
    <row r="34" spans="2:11" x14ac:dyDescent="0.3">
      <c r="B34" s="10" t="s">
        <v>65</v>
      </c>
      <c r="C34" t="s">
        <v>66</v>
      </c>
      <c r="D34" t="s">
        <v>5</v>
      </c>
      <c r="E34" s="20">
        <v>109.7</v>
      </c>
      <c r="F34" s="3">
        <v>110.49913114276882</v>
      </c>
      <c r="G34" s="21">
        <v>0.72846959231432507</v>
      </c>
      <c r="H34" s="20">
        <v>101.69</v>
      </c>
      <c r="I34" s="3">
        <v>97.264337832407705</v>
      </c>
      <c r="J34" s="21">
        <v>-4.3521114835207912</v>
      </c>
      <c r="K34" s="11" t="s">
        <v>127</v>
      </c>
    </row>
    <row r="35" spans="2:11" x14ac:dyDescent="0.3">
      <c r="B35" s="10" t="s">
        <v>67</v>
      </c>
      <c r="C35" t="s">
        <v>68</v>
      </c>
      <c r="D35" t="s">
        <v>5</v>
      </c>
      <c r="E35" s="20">
        <v>106.01</v>
      </c>
      <c r="F35" s="3">
        <v>107.46706137524558</v>
      </c>
      <c r="G35" s="21">
        <v>1.3744565373507902</v>
      </c>
      <c r="H35" s="20">
        <v>101.99</v>
      </c>
      <c r="I35" s="3">
        <v>96.959069947906698</v>
      </c>
      <c r="J35" s="21">
        <v>-4.932767969500242</v>
      </c>
      <c r="K35" s="11" t="s">
        <v>128</v>
      </c>
    </row>
    <row r="36" spans="2:11" x14ac:dyDescent="0.3">
      <c r="B36" s="10" t="s">
        <v>69</v>
      </c>
      <c r="C36" t="s">
        <v>70</v>
      </c>
      <c r="D36" t="s">
        <v>5</v>
      </c>
      <c r="E36" s="20">
        <v>104.84</v>
      </c>
      <c r="F36" s="3">
        <v>103.80873716639081</v>
      </c>
      <c r="G36" s="21">
        <v>-0.9836539809320779</v>
      </c>
      <c r="H36" s="20">
        <v>102.18</v>
      </c>
      <c r="I36" s="3">
        <v>96.886003620933366</v>
      </c>
      <c r="J36" s="21">
        <v>-5.1810494999673526</v>
      </c>
      <c r="K36" s="11" t="s">
        <v>129</v>
      </c>
    </row>
    <row r="37" spans="2:11" x14ac:dyDescent="0.3">
      <c r="B37" s="10" t="s">
        <v>71</v>
      </c>
      <c r="C37" t="s">
        <v>72</v>
      </c>
      <c r="D37" t="s">
        <v>5</v>
      </c>
      <c r="E37" s="20">
        <v>105.29</v>
      </c>
      <c r="F37" s="3">
        <v>97.597972307101031</v>
      </c>
      <c r="G37" s="21">
        <v>-7.3055633895896808</v>
      </c>
      <c r="H37" s="20">
        <v>102.8</v>
      </c>
      <c r="I37" s="3">
        <v>96.868189018819578</v>
      </c>
      <c r="J37" s="21">
        <v>-5.7702441451171396</v>
      </c>
      <c r="K37" s="11" t="s">
        <v>136</v>
      </c>
    </row>
    <row r="38" spans="2:11" x14ac:dyDescent="0.3">
      <c r="B38" s="10" t="s">
        <v>73</v>
      </c>
      <c r="C38" t="s">
        <v>74</v>
      </c>
      <c r="D38" t="s">
        <v>5</v>
      </c>
      <c r="E38" s="20">
        <v>118.52</v>
      </c>
      <c r="F38" s="3">
        <v>115.90945335083723</v>
      </c>
      <c r="G38" s="21">
        <v>-2.2026212024660574</v>
      </c>
      <c r="H38" s="20">
        <v>108.57</v>
      </c>
      <c r="I38" s="3">
        <v>103.18292723194492</v>
      </c>
      <c r="J38" s="21">
        <v>-4.9618428369301624</v>
      </c>
      <c r="K38" s="11" t="s">
        <v>124</v>
      </c>
    </row>
    <row r="39" spans="2:11" ht="15" thickBot="1" x14ac:dyDescent="0.35">
      <c r="B39" s="12" t="s">
        <v>75</v>
      </c>
      <c r="C39" s="13" t="s">
        <v>76</v>
      </c>
      <c r="D39" s="13" t="s">
        <v>5</v>
      </c>
      <c r="E39" s="22">
        <v>103.72</v>
      </c>
      <c r="F39" s="14">
        <v>100.73379552756916</v>
      </c>
      <c r="G39" s="23">
        <v>-2.8791018824053625</v>
      </c>
      <c r="H39" s="22">
        <v>101.07</v>
      </c>
      <c r="I39" s="14">
        <v>96.871978589020614</v>
      </c>
      <c r="J39" s="23">
        <v>-4.1535781250414363</v>
      </c>
      <c r="K39" s="15" t="s">
        <v>132</v>
      </c>
    </row>
    <row r="40" spans="2:11" x14ac:dyDescent="0.3">
      <c r="B40" s="26" t="s">
        <v>77</v>
      </c>
      <c r="C40" s="27"/>
      <c r="D40" s="27"/>
      <c r="E40" s="18"/>
      <c r="F40" s="16"/>
      <c r="G40" s="19" t="s">
        <v>16</v>
      </c>
      <c r="H40" s="18"/>
      <c r="I40" s="16"/>
      <c r="J40" s="19" t="s">
        <v>16</v>
      </c>
      <c r="K40" s="17"/>
    </row>
    <row r="41" spans="2:11" x14ac:dyDescent="0.3">
      <c r="B41" s="10" t="s">
        <v>78</v>
      </c>
      <c r="C41" t="s">
        <v>79</v>
      </c>
      <c r="D41" t="s">
        <v>3</v>
      </c>
      <c r="E41" s="20">
        <v>4.5999999999999996</v>
      </c>
      <c r="F41" s="3">
        <v>4.5359618157211532</v>
      </c>
      <c r="G41" s="21">
        <v>-1.392134440844488</v>
      </c>
      <c r="H41" s="20">
        <v>3.49</v>
      </c>
      <c r="I41" s="3">
        <v>4.048713779080825</v>
      </c>
      <c r="J41" s="21">
        <v>16.00899080460816</v>
      </c>
      <c r="K41" s="11" t="s">
        <v>137</v>
      </c>
    </row>
    <row r="42" spans="2:11" x14ac:dyDescent="0.3">
      <c r="B42" s="10" t="s">
        <v>6</v>
      </c>
      <c r="C42" t="s">
        <v>80</v>
      </c>
      <c r="D42" t="s">
        <v>7</v>
      </c>
      <c r="E42" s="20">
        <v>10.02</v>
      </c>
      <c r="F42" s="3">
        <v>10.000000240380526</v>
      </c>
      <c r="G42" s="21">
        <v>-0.19959839939594234</v>
      </c>
      <c r="H42" s="20">
        <v>8.33</v>
      </c>
      <c r="I42" s="3">
        <v>8.3000009500982834</v>
      </c>
      <c r="J42" s="21">
        <v>-0.36013265188135229</v>
      </c>
      <c r="K42" s="11" t="s">
        <v>138</v>
      </c>
    </row>
    <row r="43" spans="2:11" x14ac:dyDescent="0.3">
      <c r="B43" s="10" t="s">
        <v>81</v>
      </c>
      <c r="C43" t="s">
        <v>82</v>
      </c>
      <c r="D43" t="s">
        <v>51</v>
      </c>
      <c r="E43" s="20">
        <v>53.84</v>
      </c>
      <c r="F43" s="3">
        <v>53.651639292127371</v>
      </c>
      <c r="G43" s="21">
        <v>-0.34985272636075931</v>
      </c>
      <c r="H43" s="20">
        <v>54.39</v>
      </c>
      <c r="I43" s="3">
        <v>53.715567231404087</v>
      </c>
      <c r="J43" s="21">
        <v>-1.2399940588268312</v>
      </c>
      <c r="K43" s="11" t="s">
        <v>139</v>
      </c>
    </row>
    <row r="44" spans="2:11" x14ac:dyDescent="0.3">
      <c r="B44" s="10" t="s">
        <v>12</v>
      </c>
      <c r="C44" t="s">
        <v>83</v>
      </c>
      <c r="D44" t="s">
        <v>13</v>
      </c>
      <c r="E44" s="20">
        <v>0.9</v>
      </c>
      <c r="F44" s="3">
        <v>0.90000096577242206</v>
      </c>
      <c r="G44" s="21">
        <v>1.0730804689274009E-4</v>
      </c>
      <c r="H44" s="20">
        <v>0.7</v>
      </c>
      <c r="I44" s="3">
        <v>0.69996427989189525</v>
      </c>
      <c r="J44" s="21">
        <v>-5.1028725863869594E-3</v>
      </c>
      <c r="K44" s="11" t="s">
        <v>140</v>
      </c>
    </row>
    <row r="45" spans="2:11" x14ac:dyDescent="0.3">
      <c r="B45" s="10" t="s">
        <v>84</v>
      </c>
      <c r="C45" t="s">
        <v>85</v>
      </c>
      <c r="D45" t="s">
        <v>5</v>
      </c>
      <c r="E45" s="20">
        <v>24.87</v>
      </c>
      <c r="F45" s="3">
        <v>28.432143878054944</v>
      </c>
      <c r="G45" s="21">
        <v>14.323055400301339</v>
      </c>
      <c r="H45" s="20">
        <v>19.07</v>
      </c>
      <c r="I45" s="3">
        <v>21.137864447527932</v>
      </c>
      <c r="J45" s="21">
        <v>10.843547181583279</v>
      </c>
      <c r="K45" s="11" t="s">
        <v>141</v>
      </c>
    </row>
    <row r="46" spans="2:11" x14ac:dyDescent="0.3">
      <c r="B46" s="10" t="s">
        <v>86</v>
      </c>
      <c r="C46" t="s">
        <v>87</v>
      </c>
      <c r="D46" t="s">
        <v>5</v>
      </c>
      <c r="E46" s="20">
        <v>121.07</v>
      </c>
      <c r="F46" s="3">
        <v>117.40859806948163</v>
      </c>
      <c r="G46" s="21">
        <v>-3.0242024700738135</v>
      </c>
      <c r="H46" s="20">
        <v>113.85</v>
      </c>
      <c r="I46" s="3">
        <v>110.26033571093279</v>
      </c>
      <c r="J46" s="21">
        <v>-3.1529769776611345</v>
      </c>
      <c r="K46" s="11" t="s">
        <v>142</v>
      </c>
    </row>
    <row r="47" spans="2:11" ht="15" thickBot="1" x14ac:dyDescent="0.35">
      <c r="B47" s="12" t="s">
        <v>93</v>
      </c>
      <c r="C47" s="13" t="s">
        <v>94</v>
      </c>
      <c r="D47" s="13" t="s">
        <v>5</v>
      </c>
      <c r="E47" s="22">
        <v>49.43</v>
      </c>
      <c r="F47" s="14">
        <v>33.850356197537849</v>
      </c>
      <c r="G47" s="23">
        <v>-31.518599640829763</v>
      </c>
      <c r="H47" s="22">
        <v>41.48</v>
      </c>
      <c r="I47" s="14">
        <v>37.485375251806659</v>
      </c>
      <c r="J47" s="23">
        <v>-9.630242883783362</v>
      </c>
      <c r="K47" s="15" t="s">
        <v>147</v>
      </c>
    </row>
    <row r="48" spans="2:11" x14ac:dyDescent="0.3">
      <c r="B48" s="28" t="s">
        <v>88</v>
      </c>
      <c r="C48" s="29"/>
      <c r="D48" s="29"/>
      <c r="E48" s="18"/>
      <c r="F48" s="16"/>
      <c r="G48" s="19" t="s">
        <v>16</v>
      </c>
      <c r="H48" s="18"/>
      <c r="I48" s="16"/>
      <c r="J48" s="19" t="s">
        <v>16</v>
      </c>
      <c r="K48" s="17"/>
    </row>
    <row r="49" spans="2:11" x14ac:dyDescent="0.3">
      <c r="B49" s="10" t="s">
        <v>89</v>
      </c>
      <c r="C49" t="s">
        <v>90</v>
      </c>
      <c r="D49" t="s">
        <v>3</v>
      </c>
      <c r="E49" s="20">
        <v>8.99</v>
      </c>
      <c r="F49" s="3">
        <v>9.6311865157865828</v>
      </c>
      <c r="G49" s="21">
        <v>7.1322193079708853</v>
      </c>
      <c r="H49" s="20">
        <v>6.63</v>
      </c>
      <c r="I49" s="3">
        <v>7.7931007174819786</v>
      </c>
      <c r="J49" s="21">
        <v>17.542997247088667</v>
      </c>
      <c r="K49" s="11" t="s">
        <v>143</v>
      </c>
    </row>
    <row r="50" spans="2:11" x14ac:dyDescent="0.3">
      <c r="B50" s="10" t="s">
        <v>91</v>
      </c>
      <c r="C50" t="s">
        <v>92</v>
      </c>
      <c r="D50" t="s">
        <v>13</v>
      </c>
      <c r="E50" s="20">
        <v>0.88</v>
      </c>
      <c r="F50" s="3">
        <v>0.8936781421696085</v>
      </c>
      <c r="G50" s="21">
        <v>1.5543343374555112</v>
      </c>
      <c r="H50" s="20">
        <v>0.68</v>
      </c>
      <c r="I50" s="3">
        <v>0.69495030809781932</v>
      </c>
      <c r="J50" s="21">
        <v>2.1985747202675405</v>
      </c>
      <c r="K50" s="11" t="s">
        <v>144</v>
      </c>
    </row>
    <row r="51" spans="2:11" x14ac:dyDescent="0.3">
      <c r="B51" s="10" t="s">
        <v>14</v>
      </c>
      <c r="C51" t="s">
        <v>97</v>
      </c>
      <c r="D51" t="s">
        <v>5</v>
      </c>
      <c r="E51" s="20">
        <v>30.74</v>
      </c>
      <c r="F51" s="3">
        <v>30.740001888310587</v>
      </c>
      <c r="G51" s="21">
        <v>6.1428451164032542E-6</v>
      </c>
      <c r="H51" s="20">
        <v>30.6</v>
      </c>
      <c r="I51" s="3">
        <v>30.600587099853783</v>
      </c>
      <c r="J51" s="21">
        <v>1.9186269731424209E-3</v>
      </c>
      <c r="K51" s="11" t="s">
        <v>145</v>
      </c>
    </row>
    <row r="52" spans="2:11" ht="15" thickBot="1" x14ac:dyDescent="0.35">
      <c r="B52" s="12" t="s">
        <v>15</v>
      </c>
      <c r="C52" s="13" t="s">
        <v>98</v>
      </c>
      <c r="D52" s="13" t="s">
        <v>5</v>
      </c>
      <c r="E52" s="22">
        <v>29.4</v>
      </c>
      <c r="F52" s="14">
        <v>29.400128708572652</v>
      </c>
      <c r="G52" s="23">
        <v>4.3778426072491337E-4</v>
      </c>
      <c r="H52" s="22">
        <v>22.26</v>
      </c>
      <c r="I52" s="14">
        <v>22.260067020928204</v>
      </c>
      <c r="J52" s="23">
        <v>3.0108233693964783E-4</v>
      </c>
      <c r="K52" s="15" t="s">
        <v>146</v>
      </c>
    </row>
    <row r="53" spans="2:11" x14ac:dyDescent="0.3">
      <c r="B53" s="28" t="s">
        <v>112</v>
      </c>
      <c r="C53" s="29"/>
      <c r="D53" s="29"/>
      <c r="E53" s="24"/>
      <c r="F53" s="5"/>
      <c r="G53" s="25" t="s">
        <v>16</v>
      </c>
      <c r="H53" s="24"/>
      <c r="I53" s="5"/>
      <c r="J53" s="25" t="s">
        <v>16</v>
      </c>
      <c r="K53" s="11"/>
    </row>
    <row r="54" spans="2:11" x14ac:dyDescent="0.3">
      <c r="B54" s="10"/>
      <c r="C54" t="s">
        <v>99</v>
      </c>
      <c r="D54" t="s">
        <v>9</v>
      </c>
      <c r="E54" s="20">
        <v>0.49</v>
      </c>
      <c r="F54" s="3">
        <v>0.53212099999999996</v>
      </c>
      <c r="G54" s="21">
        <f>100*(F54-E54)/E54</f>
        <v>8.5961224489795836</v>
      </c>
      <c r="H54" s="20">
        <v>0.44</v>
      </c>
      <c r="I54" s="3">
        <v>0.50923700000000005</v>
      </c>
      <c r="J54" s="21">
        <v>15.735681818181829</v>
      </c>
      <c r="K54" s="11" t="s">
        <v>149</v>
      </c>
    </row>
    <row r="55" spans="2:11" x14ac:dyDescent="0.3">
      <c r="B55" s="10"/>
      <c r="C55" t="s">
        <v>100</v>
      </c>
      <c r="D55" t="s">
        <v>9</v>
      </c>
      <c r="E55" s="20">
        <v>0.22</v>
      </c>
      <c r="F55" s="3">
        <v>0.21737999999999999</v>
      </c>
      <c r="G55" s="21">
        <f>100*(F55-E55)/E55</f>
        <v>-1.190909090909096</v>
      </c>
      <c r="H55" s="20">
        <v>0.31</v>
      </c>
      <c r="I55" s="3">
        <v>0.34517100000000001</v>
      </c>
      <c r="J55" s="21">
        <v>11.345483870967746</v>
      </c>
      <c r="K55" s="11" t="s">
        <v>150</v>
      </c>
    </row>
    <row r="56" spans="2:11" ht="15" thickBot="1" x14ac:dyDescent="0.35">
      <c r="B56" s="12"/>
      <c r="C56" s="13" t="s">
        <v>101</v>
      </c>
      <c r="D56" s="13" t="s">
        <v>27</v>
      </c>
      <c r="E56" s="22">
        <f>((E12-E13)/E12)*100</f>
        <v>60.389610389610397</v>
      </c>
      <c r="F56" s="14">
        <v>56.2</v>
      </c>
      <c r="G56" s="23">
        <f>100*(F56-E56)/E56</f>
        <v>-6.9376344086021566</v>
      </c>
      <c r="H56" s="22">
        <v>69.80306345733041</v>
      </c>
      <c r="I56" s="14">
        <v>93.3</v>
      </c>
      <c r="J56" s="23">
        <v>33.661755485893423</v>
      </c>
      <c r="K56" s="15" t="s">
        <v>151</v>
      </c>
    </row>
    <row r="57" spans="2:11" x14ac:dyDescent="0.3">
      <c r="E57" s="3"/>
    </row>
    <row r="78" spans="2:3" x14ac:dyDescent="0.3">
      <c r="B78" s="2"/>
    </row>
    <row r="79" spans="2:3" x14ac:dyDescent="0.3">
      <c r="C79" s="4"/>
    </row>
    <row r="83" spans="2:3" x14ac:dyDescent="0.3">
      <c r="B83" s="2"/>
    </row>
    <row r="89" spans="2:3" x14ac:dyDescent="0.3">
      <c r="B89" s="1"/>
      <c r="C89" s="1"/>
    </row>
    <row r="90" spans="2:3" x14ac:dyDescent="0.3">
      <c r="B90" s="1"/>
    </row>
    <row r="91" spans="2:3" x14ac:dyDescent="0.3">
      <c r="B91" s="1"/>
    </row>
    <row r="92" spans="2:3" x14ac:dyDescent="0.3">
      <c r="B92" s="1"/>
    </row>
    <row r="93" spans="2:3" x14ac:dyDescent="0.3">
      <c r="B93" s="1"/>
    </row>
    <row r="94" spans="2:3" x14ac:dyDescent="0.3">
      <c r="B94" s="1"/>
    </row>
    <row r="95" spans="2:3" x14ac:dyDescent="0.3">
      <c r="B95" s="1"/>
    </row>
    <row r="96" spans="2:3" x14ac:dyDescent="0.3">
      <c r="B96" s="1"/>
    </row>
  </sheetData>
  <mergeCells count="9">
    <mergeCell ref="B40:D40"/>
    <mergeCell ref="B48:D48"/>
    <mergeCell ref="B53:D53"/>
    <mergeCell ref="E2:G2"/>
    <mergeCell ref="H2:J2"/>
    <mergeCell ref="B4:D4"/>
    <mergeCell ref="B11:D11"/>
    <mergeCell ref="B26:D26"/>
    <mergeCell ref="B31:D31"/>
  </mergeCells>
  <phoneticPr fontId="6" type="noConversion"/>
  <conditionalFormatting sqref="G5:G10 J5:J52 G12:G25 G27:G30 G32:G39 G41:G47">
    <cfRule type="expression" dxfId="11" priority="20">
      <formula>AND(ABS(G5)&gt;=5,ABS(G5)&lt;10)</formula>
    </cfRule>
    <cfRule type="expression" dxfId="10" priority="21">
      <formula>ABS(G5)&lt;5</formula>
    </cfRule>
  </conditionalFormatting>
  <conditionalFormatting sqref="G49:G56">
    <cfRule type="expression" dxfId="9" priority="10">
      <formula>ABS(G49)&gt;10</formula>
    </cfRule>
    <cfRule type="expression" dxfId="8" priority="11">
      <formula>AND(ABS(G49)&gt;=5,ABS(G49)&lt;10)</formula>
    </cfRule>
    <cfRule type="expression" dxfId="7" priority="12">
      <formula>ABS(G49)&lt;5</formula>
    </cfRule>
  </conditionalFormatting>
  <conditionalFormatting sqref="J5:J52 G5:G10 G12:G25 G27:G30 G32:G39 G41:G47">
    <cfRule type="expression" dxfId="6" priority="19">
      <formula>ABS(G5)&gt;10</formula>
    </cfRule>
  </conditionalFormatting>
  <conditionalFormatting sqref="J51:J56">
    <cfRule type="expression" dxfId="5" priority="4">
      <formula>ABS(J51)&gt;10</formula>
    </cfRule>
    <cfRule type="expression" dxfId="4" priority="5">
      <formula>AND(ABS(J51)&gt;=5,ABS(J51)&lt;10)</formula>
    </cfRule>
    <cfRule type="expression" dxfId="3" priority="6">
      <formula>ABS(J51)&lt;5</formula>
    </cfRule>
  </conditionalFormatting>
  <conditionalFormatting sqref="K56">
    <cfRule type="expression" dxfId="2" priority="1">
      <formula>ABS(K56)&gt;10</formula>
    </cfRule>
    <cfRule type="expression" dxfId="1" priority="2">
      <formula>AND(ABS(K56)&gt;=5,ABS(K56)&lt;10)</formula>
    </cfRule>
    <cfRule type="expression" dxfId="0" priority="3">
      <formula>ABS(K56)&lt;5</formula>
    </cfRule>
  </conditionalFormatting>
  <pageMargins left="0.19685039370078741" right="0.19685039370078741" top="0.19685039370078741" bottom="0.19685039370078741" header="0" footer="0"/>
  <pageSetup scale="70" orientation="landscape" r:id="rId1"/>
  <headerFooter>
    <oddFooter>&amp;C_x000D_&amp;1#&amp;"Aptos"&amp;14&amp;K000000 KDI LIMITED</oddFooter>
  </headerFooter>
</worksheet>
</file>

<file path=docMetadata/LabelInfo.xml><?xml version="1.0" encoding="utf-8"?>
<clbl:labelList xmlns:clbl="http://schemas.microsoft.com/office/2020/mipLabelMetadata">
  <clbl:label id="{bc758dd0-ab53-4372-9a7c-e98a9620862c}" enabled="0" method="" siteId="{bc758dd0-ab53-4372-9a7c-e98a962086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SS case 3 (v19.5)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Vetle Bø Søli</dc:creator>
  <cp:lastModifiedBy>Vetle Bø Søli</cp:lastModifiedBy>
  <cp:lastPrinted>2026-05-08T00:30:45Z</cp:lastPrinted>
  <dcterms:created xsi:type="dcterms:W3CDTF">2026-05-07T23:15:08Z</dcterms:created>
  <dcterms:modified xsi:type="dcterms:W3CDTF">2026-05-08T07:01:55Z</dcterms:modified>
</cp:coreProperties>
</file>