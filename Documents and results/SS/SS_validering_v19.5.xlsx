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sn-my.sharepoint.com/personal/266754_usn_no/Documents/USN/26V Bachelor/K-Spice/GitHub/DynamicCO2Simulator/Documents and results/SS/"/>
    </mc:Choice>
  </mc:AlternateContent>
  <xr:revisionPtr revIDLastSave="1144" documentId="8_{CFF00B12-228D-441B-99FA-6C688BC7A5DC}" xr6:coauthVersionLast="47" xr6:coauthVersionMax="47" xr10:uidLastSave="{CF007595-9D08-4385-8950-A38820AFEE6F}"/>
  <bookViews>
    <workbookView xWindow="-108" yWindow="-108" windowWidth="23256" windowHeight="12456" tabRatio="718" activeTab="1" xr2:uid="{00000000-000D-0000-FFFF-FFFF00000000}"/>
  </bookViews>
  <sheets>
    <sheet name="Appendix A" sheetId="2" r:id="rId1"/>
    <sheet name="SS case 1" sheetId="4" r:id="rId2"/>
    <sheet name="SS case 1 (v19.5)" sheetId="17" r:id="rId3"/>
    <sheet name="SS case 2" sheetId="3" r:id="rId4"/>
    <sheet name="SS case 2 (v19.5)" sheetId="16" r:id="rId5"/>
    <sheet name="SS case 3" sheetId="5" r:id="rId6"/>
    <sheet name="SS case 3 (v19.5)" sheetId="15" r:id="rId7"/>
    <sheet name="SS case 5" sheetId="8" r:id="rId8"/>
    <sheet name="SS case 5 (v19.5)" sheetId="14" r:id="rId9"/>
    <sheet name="SS case 6" sheetId="9" r:id="rId10"/>
    <sheet name="SS case 6 (v19.5)" sheetId="13" r:id="rId11"/>
    <sheet name="SS case 7" sheetId="10" r:id="rId12"/>
    <sheet name="SS case 7 (v19.5)" sheetId="1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4" l="1"/>
  <c r="B13" i="4"/>
  <c r="G9" i="13" a="1"/>
  <c r="G9" i="13" s="1"/>
  <c r="G9" i="12" a="1"/>
  <c r="G9" i="12" s="1"/>
  <c r="G9" i="14" a="1"/>
  <c r="G9" i="14" s="1"/>
  <c r="G9" i="15" a="1"/>
  <c r="G9" i="15"/>
  <c r="G9" i="16" a="1"/>
  <c r="G9" i="16" s="1"/>
  <c r="G9" i="17" a="1"/>
  <c r="G9" i="17" s="1"/>
  <c r="G10" i="16" a="1"/>
  <c r="G10" i="16" s="1"/>
  <c r="G10" i="15" a="1"/>
  <c r="G10" i="15" s="1"/>
  <c r="G10" i="14" a="1"/>
  <c r="G10" i="14" s="1"/>
  <c r="G10" i="13" a="1"/>
  <c r="G10" i="13" s="1"/>
  <c r="G10" i="12" a="1"/>
  <c r="G10" i="12" s="1"/>
  <c r="G10" i="17" a="1"/>
  <c r="G10" i="17" s="1"/>
  <c r="B13" i="8"/>
  <c r="E13" i="4" a="1"/>
  <c r="E102" i="8" a="1"/>
  <c r="E104" i="5" a="1"/>
  <c r="E101" i="5" a="1"/>
  <c r="E104" i="3" a="1"/>
  <c r="E101" i="3" a="1"/>
  <c r="E102" i="3" a="1"/>
  <c r="E103" i="4" a="1"/>
  <c r="E105" i="4" a="1"/>
  <c r="E13" i="8" a="1"/>
  <c r="E104" i="10" a="1"/>
  <c r="E102" i="5" a="1"/>
  <c r="E100" i="5" a="1"/>
  <c r="E103" i="5" a="1"/>
  <c r="E103" i="3" a="1"/>
  <c r="E105" i="3" a="1"/>
  <c r="E101" i="4" a="1"/>
  <c r="E104" i="4" a="1"/>
  <c r="E102" i="4" a="1"/>
  <c r="E103" i="10" a="1"/>
  <c r="E100" i="10" a="1"/>
  <c r="E101" i="10" a="1"/>
  <c r="E102" i="10" a="1"/>
  <c r="E104" i="9" a="1"/>
  <c r="E103" i="9" a="1"/>
  <c r="E102" i="9" a="1"/>
  <c r="E101" i="9" a="1"/>
  <c r="E100" i="9" a="1"/>
  <c r="E104" i="8" a="1"/>
  <c r="E101" i="8" a="1"/>
  <c r="E100" i="8" a="1"/>
  <c r="E103" i="8" a="1"/>
  <c r="E13" i="4" l="1"/>
  <c r="E102" i="10"/>
  <c r="E101" i="10"/>
  <c r="G101" i="10" s="1"/>
  <c r="E100" i="10"/>
  <c r="G100" i="10" s="1"/>
  <c r="E103" i="10"/>
  <c r="E104" i="10"/>
  <c r="G104" i="10" s="1"/>
  <c r="E100" i="9"/>
  <c r="G100" i="9" s="1"/>
  <c r="E101" i="9"/>
  <c r="G101" i="9" s="1"/>
  <c r="E102" i="9"/>
  <c r="E103" i="9"/>
  <c r="E104" i="9"/>
  <c r="G104" i="9" s="1"/>
  <c r="E102" i="8"/>
  <c r="E103" i="8"/>
  <c r="E100" i="8"/>
  <c r="G100" i="8" s="1"/>
  <c r="E101" i="8"/>
  <c r="G101" i="8" s="1"/>
  <c r="E104" i="8"/>
  <c r="G104" i="8" s="1"/>
  <c r="E103" i="5"/>
  <c r="E100" i="5"/>
  <c r="G100" i="5" s="1"/>
  <c r="E101" i="5"/>
  <c r="G101" i="5" s="1"/>
  <c r="E102" i="5"/>
  <c r="E104" i="5"/>
  <c r="G104" i="5" s="1"/>
  <c r="E102" i="3"/>
  <c r="G102" i="3" s="1"/>
  <c r="E105" i="3"/>
  <c r="G105" i="3" s="1"/>
  <c r="E101" i="3"/>
  <c r="G101" i="3" s="1"/>
  <c r="E103" i="3"/>
  <c r="E104" i="3"/>
  <c r="E102" i="4"/>
  <c r="G102" i="4" s="1"/>
  <c r="E105" i="4"/>
  <c r="G105" i="4" s="1"/>
  <c r="E104" i="4"/>
  <c r="G104" i="4" s="1"/>
  <c r="E103" i="4"/>
  <c r="E101" i="4"/>
  <c r="G101" i="4" s="1"/>
  <c r="E13" i="8"/>
  <c r="G13" i="8" s="1"/>
  <c r="B14" i="8"/>
  <c r="E14" i="8" a="1"/>
  <c r="E14" i="8" l="1"/>
  <c r="G14" i="8" s="1"/>
  <c r="B15" i="8"/>
  <c r="B16" i="8"/>
  <c r="B17" i="8"/>
  <c r="B18" i="8"/>
  <c r="B20" i="8"/>
  <c r="B21" i="8"/>
  <c r="B22" i="8"/>
  <c r="B23" i="8"/>
  <c r="B26" i="8"/>
  <c r="B27" i="8"/>
  <c r="B28" i="8"/>
  <c r="B29" i="8"/>
  <c r="B30" i="8"/>
  <c r="B31" i="8"/>
  <c r="B34" i="8"/>
  <c r="B35" i="8"/>
  <c r="B36" i="8"/>
  <c r="B37" i="8"/>
  <c r="B38" i="8"/>
  <c r="E20" i="8" a="1"/>
  <c r="E15" i="8" a="1"/>
  <c r="E29" i="8" a="1"/>
  <c r="E38" i="8" a="1"/>
  <c r="E35" i="8" a="1"/>
  <c r="E22" i="8" a="1"/>
  <c r="E31" i="8" a="1"/>
  <c r="E16" i="8" a="1"/>
  <c r="E21" i="8" a="1"/>
  <c r="E17" i="8" a="1"/>
  <c r="E28" i="8" a="1"/>
  <c r="E27" i="8" a="1"/>
  <c r="E26" i="8" a="1"/>
  <c r="E18" i="8" a="1"/>
  <c r="E19" i="8" a="1"/>
  <c r="E30" i="8" a="1"/>
  <c r="E36" i="8" a="1"/>
  <c r="E34" i="8" a="1"/>
  <c r="E23" i="8" a="1"/>
  <c r="B102" i="8" l="1"/>
  <c r="G102" i="8" s="1"/>
  <c r="E17" i="8"/>
  <c r="G17" i="8" s="1"/>
  <c r="E15" i="8"/>
  <c r="G15" i="8" s="1"/>
  <c r="E19" i="8"/>
  <c r="G19" i="8" s="1"/>
  <c r="E28" i="8"/>
  <c r="G28" i="8" s="1"/>
  <c r="E31" i="8"/>
  <c r="G31" i="8" s="1"/>
  <c r="E27" i="8"/>
  <c r="G27" i="8" s="1"/>
  <c r="E21" i="8"/>
  <c r="G21" i="8" s="1"/>
  <c r="E16" i="8"/>
  <c r="G16" i="8" s="1"/>
  <c r="E36" i="8"/>
  <c r="E30" i="8"/>
  <c r="G30" i="8" s="1"/>
  <c r="E26" i="8"/>
  <c r="G26" i="8" s="1"/>
  <c r="E20" i="8"/>
  <c r="G20" i="8" s="1"/>
  <c r="E35" i="8"/>
  <c r="E29" i="8"/>
  <c r="G29" i="8" s="1"/>
  <c r="E23" i="8"/>
  <c r="G23" i="8" s="1"/>
  <c r="E18" i="8"/>
  <c r="G18" i="8" s="1"/>
  <c r="E34" i="8"/>
  <c r="G34" i="8" s="1"/>
  <c r="E22" i="8"/>
  <c r="G22" i="8" s="1"/>
  <c r="E38" i="8"/>
  <c r="G38" i="8" s="1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5" i="8"/>
  <c r="B56" i="8"/>
  <c r="B57" i="8"/>
  <c r="B58" i="8"/>
  <c r="B61" i="8"/>
  <c r="B62" i="8"/>
  <c r="B63" i="8"/>
  <c r="B64" i="8"/>
  <c r="B65" i="8"/>
  <c r="B66" i="8"/>
  <c r="B67" i="8"/>
  <c r="B68" i="8"/>
  <c r="B71" i="8"/>
  <c r="B72" i="8"/>
  <c r="B73" i="8"/>
  <c r="B74" i="8"/>
  <c r="B75" i="8"/>
  <c r="B76" i="8"/>
  <c r="B79" i="8"/>
  <c r="B103" i="8" s="1"/>
  <c r="G103" i="8" s="1"/>
  <c r="B80" i="8"/>
  <c r="B82" i="8"/>
  <c r="B83" i="8"/>
  <c r="B84" i="8"/>
  <c r="B85" i="8"/>
  <c r="B88" i="8"/>
  <c r="B91" i="8"/>
  <c r="B94" i="8"/>
  <c r="B95" i="8"/>
  <c r="B96" i="8"/>
  <c r="B97" i="8"/>
  <c r="B98" i="8"/>
  <c r="B98" i="10"/>
  <c r="B97" i="10"/>
  <c r="B96" i="10"/>
  <c r="B95" i="10"/>
  <c r="B94" i="10"/>
  <c r="B91" i="10"/>
  <c r="B88" i="10"/>
  <c r="B85" i="10"/>
  <c r="B84" i="10"/>
  <c r="B83" i="10"/>
  <c r="B82" i="10"/>
  <c r="B80" i="10"/>
  <c r="B79" i="10"/>
  <c r="B76" i="10"/>
  <c r="B75" i="10"/>
  <c r="B74" i="10"/>
  <c r="B73" i="10"/>
  <c r="B72" i="10"/>
  <c r="B71" i="10"/>
  <c r="B68" i="10"/>
  <c r="B67" i="10"/>
  <c r="B66" i="10"/>
  <c r="B65" i="10"/>
  <c r="B64" i="10"/>
  <c r="B63" i="10"/>
  <c r="B62" i="10"/>
  <c r="B61" i="10"/>
  <c r="B58" i="10"/>
  <c r="B57" i="10"/>
  <c r="B56" i="10"/>
  <c r="B55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1" i="10"/>
  <c r="B30" i="10"/>
  <c r="B29" i="10"/>
  <c r="B28" i="10"/>
  <c r="B27" i="10"/>
  <c r="B26" i="10"/>
  <c r="B23" i="10"/>
  <c r="B22" i="10"/>
  <c r="B21" i="10"/>
  <c r="B20" i="10"/>
  <c r="B18" i="10"/>
  <c r="B17" i="10"/>
  <c r="B103" i="10" s="1"/>
  <c r="G103" i="10" s="1"/>
  <c r="B16" i="10"/>
  <c r="B15" i="10"/>
  <c r="B14" i="10"/>
  <c r="B13" i="10"/>
  <c r="B98" i="9"/>
  <c r="B97" i="9"/>
  <c r="B96" i="9"/>
  <c r="B95" i="9"/>
  <c r="B94" i="9"/>
  <c r="B91" i="9"/>
  <c r="B88" i="9"/>
  <c r="B85" i="9"/>
  <c r="B84" i="9"/>
  <c r="B83" i="9"/>
  <c r="B82" i="9"/>
  <c r="B80" i="9"/>
  <c r="B79" i="9"/>
  <c r="B76" i="9"/>
  <c r="B75" i="9"/>
  <c r="B74" i="9"/>
  <c r="B73" i="9"/>
  <c r="B72" i="9"/>
  <c r="B71" i="9"/>
  <c r="B68" i="9"/>
  <c r="B67" i="9"/>
  <c r="B66" i="9"/>
  <c r="B65" i="9"/>
  <c r="B64" i="9"/>
  <c r="B63" i="9"/>
  <c r="B62" i="9"/>
  <c r="B61" i="9"/>
  <c r="B58" i="9"/>
  <c r="B57" i="9"/>
  <c r="B56" i="9"/>
  <c r="B55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1" i="9"/>
  <c r="B30" i="9"/>
  <c r="B29" i="9"/>
  <c r="B28" i="9"/>
  <c r="B27" i="9"/>
  <c r="B26" i="9"/>
  <c r="B23" i="9"/>
  <c r="B22" i="9"/>
  <c r="B21" i="9"/>
  <c r="B20" i="9"/>
  <c r="B18" i="9"/>
  <c r="B17" i="9"/>
  <c r="B103" i="9" s="1"/>
  <c r="G103" i="9" s="1"/>
  <c r="B16" i="9"/>
  <c r="B15" i="9"/>
  <c r="B14" i="9"/>
  <c r="B13" i="9"/>
  <c r="B98" i="5"/>
  <c r="B97" i="5"/>
  <c r="B96" i="5"/>
  <c r="B95" i="5"/>
  <c r="B94" i="5"/>
  <c r="B91" i="5"/>
  <c r="B88" i="5"/>
  <c r="B85" i="5"/>
  <c r="B84" i="5"/>
  <c r="B83" i="5"/>
  <c r="B82" i="5"/>
  <c r="B80" i="5"/>
  <c r="B79" i="5"/>
  <c r="B76" i="5"/>
  <c r="B75" i="5"/>
  <c r="B74" i="5"/>
  <c r="B73" i="5"/>
  <c r="B72" i="5"/>
  <c r="B71" i="5"/>
  <c r="B68" i="5"/>
  <c r="B67" i="5"/>
  <c r="B66" i="5"/>
  <c r="B65" i="5"/>
  <c r="B64" i="5"/>
  <c r="B63" i="5"/>
  <c r="B62" i="5"/>
  <c r="B61" i="5"/>
  <c r="B58" i="5"/>
  <c r="B57" i="5"/>
  <c r="B56" i="5"/>
  <c r="B55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1" i="5"/>
  <c r="B30" i="5"/>
  <c r="B29" i="5"/>
  <c r="B28" i="5"/>
  <c r="B27" i="5"/>
  <c r="B26" i="5"/>
  <c r="B23" i="5"/>
  <c r="B22" i="5"/>
  <c r="B21" i="5"/>
  <c r="B20" i="5"/>
  <c r="B18" i="5"/>
  <c r="B17" i="5"/>
  <c r="B103" i="5" s="1"/>
  <c r="G103" i="5" s="1"/>
  <c r="B16" i="5"/>
  <c r="B15" i="5"/>
  <c r="B14" i="5"/>
  <c r="B13" i="5"/>
  <c r="B98" i="3"/>
  <c r="B97" i="3"/>
  <c r="B96" i="3"/>
  <c r="B95" i="3"/>
  <c r="B94" i="3"/>
  <c r="B91" i="3"/>
  <c r="B88" i="3"/>
  <c r="B85" i="3"/>
  <c r="B83" i="3"/>
  <c r="B82" i="3"/>
  <c r="B80" i="3"/>
  <c r="B79" i="3"/>
  <c r="B76" i="3"/>
  <c r="B75" i="3"/>
  <c r="B74" i="3"/>
  <c r="B73" i="3"/>
  <c r="B72" i="3"/>
  <c r="B71" i="3"/>
  <c r="B68" i="3"/>
  <c r="B67" i="3"/>
  <c r="B66" i="3"/>
  <c r="B65" i="3"/>
  <c r="B64" i="3"/>
  <c r="B63" i="3"/>
  <c r="B62" i="3"/>
  <c r="B61" i="3"/>
  <c r="B58" i="3"/>
  <c r="B57" i="3"/>
  <c r="B56" i="3"/>
  <c r="B55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1" i="3"/>
  <c r="B30" i="3"/>
  <c r="B29" i="3"/>
  <c r="B28" i="3"/>
  <c r="B27" i="3"/>
  <c r="B26" i="3"/>
  <c r="B23" i="3"/>
  <c r="B22" i="3"/>
  <c r="B21" i="3"/>
  <c r="B20" i="3"/>
  <c r="B18" i="3"/>
  <c r="B17" i="3"/>
  <c r="B104" i="3" s="1"/>
  <c r="G104" i="3" s="1"/>
  <c r="B16" i="3"/>
  <c r="B15" i="3"/>
  <c r="B14" i="3"/>
  <c r="B13" i="3"/>
  <c r="B98" i="4"/>
  <c r="B97" i="4"/>
  <c r="B96" i="4"/>
  <c r="B95" i="4"/>
  <c r="B94" i="4"/>
  <c r="B91" i="4"/>
  <c r="B88" i="4"/>
  <c r="B85" i="4"/>
  <c r="B83" i="4"/>
  <c r="B82" i="4"/>
  <c r="B80" i="4"/>
  <c r="B79" i="4"/>
  <c r="B76" i="4"/>
  <c r="B75" i="4"/>
  <c r="B74" i="4"/>
  <c r="B73" i="4"/>
  <c r="B72" i="4"/>
  <c r="B71" i="4"/>
  <c r="B68" i="4"/>
  <c r="B67" i="4"/>
  <c r="B66" i="4"/>
  <c r="B65" i="4"/>
  <c r="B64" i="4"/>
  <c r="B63" i="4"/>
  <c r="B62" i="4"/>
  <c r="B61" i="4"/>
  <c r="B58" i="4"/>
  <c r="B57" i="4"/>
  <c r="B56" i="4"/>
  <c r="B55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1" i="4"/>
  <c r="B30" i="4"/>
  <c r="B29" i="4"/>
  <c r="B28" i="4"/>
  <c r="B27" i="4"/>
  <c r="B26" i="4"/>
  <c r="B23" i="4"/>
  <c r="B22" i="4"/>
  <c r="B21" i="4"/>
  <c r="B20" i="4"/>
  <c r="B18" i="4"/>
  <c r="B17" i="4"/>
  <c r="B16" i="4"/>
  <c r="B15" i="4"/>
  <c r="B14" i="4"/>
  <c r="E63" i="3" a="1"/>
  <c r="E17" i="4" a="1"/>
  <c r="E75" i="9" a="1"/>
  <c r="E62" i="5" a="1"/>
  <c r="E18" i="10" a="1"/>
  <c r="E98" i="9" a="1"/>
  <c r="E22" i="3" a="1"/>
  <c r="E96" i="5" a="1"/>
  <c r="E72" i="8" a="1"/>
  <c r="E73" i="4" a="1"/>
  <c r="E49" i="8" a="1"/>
  <c r="E48" i="10" a="1"/>
  <c r="E97" i="8" a="1"/>
  <c r="E72" i="4" a="1"/>
  <c r="E72" i="9" a="1"/>
  <c r="E23" i="5" a="1"/>
  <c r="E21" i="5" a="1"/>
  <c r="E27" i="10" a="1"/>
  <c r="E34" i="5" a="1"/>
  <c r="E15" i="5" a="1"/>
  <c r="E15" i="4" a="1"/>
  <c r="E23" i="3" a="1"/>
  <c r="E66" i="8" a="1"/>
  <c r="E27" i="9" a="1"/>
  <c r="E66" i="9" a="1"/>
  <c r="E83" i="10" a="1"/>
  <c r="E44" i="4" a="1"/>
  <c r="E63" i="9" a="1"/>
  <c r="E97" i="5" a="1"/>
  <c r="E95" i="10" a="1"/>
  <c r="E26" i="4" a="1"/>
  <c r="E35" i="9" a="1"/>
  <c r="E47" i="4" a="1"/>
  <c r="E61" i="5" a="1"/>
  <c r="E13" i="9" a="1"/>
  <c r="E20" i="4" a="1"/>
  <c r="E61" i="3" a="1"/>
  <c r="E15" i="10" a="1"/>
  <c r="E40" i="8" a="1"/>
  <c r="E44" i="10" a="1"/>
  <c r="E34" i="3" a="1"/>
  <c r="E43" i="4" a="1"/>
  <c r="E97" i="9" a="1"/>
  <c r="E64" i="10" a="1"/>
  <c r="E40" i="5" a="1"/>
  <c r="E36" i="4" a="1"/>
  <c r="E20" i="5" a="1"/>
  <c r="E19" i="5" a="1"/>
  <c r="E28" i="9" a="1"/>
  <c r="E48" i="5" a="1"/>
  <c r="E55" i="5" a="1"/>
  <c r="E48" i="3" a="1"/>
  <c r="E39" i="4" a="1"/>
  <c r="E57" i="10" a="1"/>
  <c r="E57" i="9" a="1"/>
  <c r="E34" i="4" a="1"/>
  <c r="E49" i="9" a="1"/>
  <c r="E79" i="10" a="1"/>
  <c r="E19" i="4" a="1"/>
  <c r="E44" i="8" a="1"/>
  <c r="E30" i="9" a="1"/>
  <c r="E83" i="8" a="1"/>
  <c r="E45" i="5" a="1"/>
  <c r="E16" i="5" a="1"/>
  <c r="E40" i="10" a="1"/>
  <c r="E15" i="9" a="1"/>
  <c r="E29" i="4" a="1"/>
  <c r="E41" i="3" a="1"/>
  <c r="E95" i="8" a="1"/>
  <c r="E95" i="3" a="1"/>
  <c r="E65" i="4" a="1"/>
  <c r="E49" i="5" a="1"/>
  <c r="E17" i="9" a="1"/>
  <c r="E67" i="10" a="1"/>
  <c r="E47" i="8" a="1"/>
  <c r="E62" i="9" a="1"/>
  <c r="E74" i="8" a="1"/>
  <c r="E76" i="3" a="1"/>
  <c r="E46" i="8" a="1"/>
  <c r="E73" i="3" a="1"/>
  <c r="E74" i="4" a="1"/>
  <c r="E71" i="10" a="1"/>
  <c r="E97" i="3" a="1"/>
  <c r="E47" i="3" a="1"/>
  <c r="E18" i="5" a="1"/>
  <c r="E74" i="9" a="1"/>
  <c r="E94" i="3" a="1"/>
  <c r="E75" i="8" a="1"/>
  <c r="E83" i="9" a="1"/>
  <c r="E38" i="9" a="1"/>
  <c r="E66" i="4" a="1"/>
  <c r="E38" i="10" a="1"/>
  <c r="E13" i="5" a="1"/>
  <c r="E66" i="10" a="1"/>
  <c r="E18" i="4" a="1"/>
  <c r="E57" i="8" a="1"/>
  <c r="E38" i="4" a="1"/>
  <c r="E31" i="5" a="1"/>
  <c r="E42" i="3" a="1"/>
  <c r="E19" i="3" a="1"/>
  <c r="E76" i="4" a="1"/>
  <c r="E43" i="5" a="1"/>
  <c r="E14" i="9" a="1"/>
  <c r="E49" i="10" a="1"/>
  <c r="E57" i="5" a="1"/>
  <c r="E80" i="5" a="1"/>
  <c r="E98" i="8" a="1"/>
  <c r="E84" i="9" a="1"/>
  <c r="E31" i="4" a="1"/>
  <c r="E76" i="9" a="1"/>
  <c r="E58" i="10" a="1"/>
  <c r="E80" i="8" a="1"/>
  <c r="E61" i="10" a="1"/>
  <c r="E75" i="3" a="1"/>
  <c r="E72" i="5" a="1"/>
  <c r="E75" i="5" a="1"/>
  <c r="E64" i="9" a="1"/>
  <c r="E67" i="8" a="1"/>
  <c r="E23" i="9" a="1"/>
  <c r="E29" i="3" a="1"/>
  <c r="E42" i="10" a="1"/>
  <c r="E85" i="3" a="1"/>
  <c r="E49" i="3" a="1"/>
  <c r="E28" i="10" a="1"/>
  <c r="E20" i="3" a="1"/>
  <c r="E68" i="4" a="1"/>
  <c r="E74" i="5" a="1"/>
  <c r="E13" i="3" a="1"/>
  <c r="E21" i="4" a="1"/>
  <c r="E84" i="5" a="1"/>
  <c r="E42" i="5" a="1"/>
  <c r="E88" i="3" a="1"/>
  <c r="E16" i="3" a="1"/>
  <c r="E45" i="4" a="1"/>
  <c r="E14" i="3" a="1"/>
  <c r="E19" i="10" a="1"/>
  <c r="E61" i="4" a="1"/>
  <c r="E45" i="3" a="1"/>
  <c r="E80" i="9" a="1"/>
  <c r="E48" i="8" a="1"/>
  <c r="E91" i="9" a="1"/>
  <c r="E30" i="5" a="1"/>
  <c r="E98" i="10" a="1"/>
  <c r="E96" i="4" a="1"/>
  <c r="E42" i="4" a="1"/>
  <c r="E58" i="4" a="1"/>
  <c r="E76" i="8" a="1"/>
  <c r="E22" i="5" a="1"/>
  <c r="E63" i="5" a="1"/>
  <c r="E31" i="3" a="1"/>
  <c r="E96" i="8" a="1"/>
  <c r="E40" i="4" a="1"/>
  <c r="E62" i="3" a="1"/>
  <c r="E97" i="4" a="1"/>
  <c r="E27" i="3" a="1"/>
  <c r="E74" i="10" a="1"/>
  <c r="E65" i="8" a="1"/>
  <c r="E84" i="10" a="1"/>
  <c r="E65" i="9" a="1"/>
  <c r="E62" i="10" a="1"/>
  <c r="E22" i="9" a="1"/>
  <c r="E73" i="9" a="1"/>
  <c r="E43" i="8" a="1"/>
  <c r="E66" i="5" a="1"/>
  <c r="E45" i="10" a="1"/>
  <c r="E84" i="4" a="1"/>
  <c r="E58" i="8" a="1"/>
  <c r="E65" i="3" a="1"/>
  <c r="E58" i="5" a="1"/>
  <c r="E57" i="3" a="1"/>
  <c r="E79" i="5" a="1"/>
  <c r="E88" i="5" a="1"/>
  <c r="E26" i="5" a="1"/>
  <c r="E91" i="4" a="1"/>
  <c r="E64" i="3" a="1"/>
  <c r="E26" i="9" a="1"/>
  <c r="E52" i="4" a="1"/>
  <c r="E40" i="3" a="1"/>
  <c r="E52" i="9" a="1"/>
  <c r="E17" i="10" a="1"/>
  <c r="E80" i="4" a="1"/>
  <c r="E61" i="8" a="1"/>
  <c r="E15" i="3" a="1"/>
  <c r="E31" i="9" a="1"/>
  <c r="E19" i="9" a="1"/>
  <c r="E71" i="4" a="1"/>
  <c r="E94" i="9" a="1"/>
  <c r="E30" i="10" a="1"/>
  <c r="E63" i="4" a="1"/>
  <c r="E41" i="8" a="1"/>
  <c r="E52" i="8" a="1"/>
  <c r="E96" i="9" a="1"/>
  <c r="E58" i="3" a="1"/>
  <c r="E41" i="4" a="1"/>
  <c r="E17" i="5" a="1"/>
  <c r="E35" i="5" a="1"/>
  <c r="E16" i="4" a="1"/>
  <c r="E98" i="4" a="1"/>
  <c r="E28" i="4" a="1"/>
  <c r="E67" i="3" a="1"/>
  <c r="E49" i="4" a="1"/>
  <c r="E71" i="9" a="1"/>
  <c r="E47" i="10" a="1"/>
  <c r="E61" i="9" a="1"/>
  <c r="E36" i="10" a="1"/>
  <c r="E95" i="4" a="1"/>
  <c r="E67" i="9" a="1"/>
  <c r="E48" i="9" a="1"/>
  <c r="E67" i="5" a="1"/>
  <c r="E46" i="9" a="1"/>
  <c r="E55" i="8" a="1"/>
  <c r="E34" i="10" a="1"/>
  <c r="E38" i="5" a="1"/>
  <c r="E17" i="3" a="1"/>
  <c r="E96" i="10" a="1"/>
  <c r="E44" i="3" a="1"/>
  <c r="E13" i="10" a="1"/>
  <c r="E29" i="5" a="1"/>
  <c r="E79" i="9" a="1"/>
  <c r="E96" i="3" a="1"/>
  <c r="E52" i="10" a="1"/>
  <c r="E27" i="4" a="1"/>
  <c r="E22" i="4" a="1"/>
  <c r="E52" i="5" a="1"/>
  <c r="E52" i="3" a="1"/>
  <c r="E57" i="4" a="1"/>
  <c r="E41" i="9" a="1"/>
  <c r="E64" i="8" a="1"/>
  <c r="E47" i="5" a="1"/>
  <c r="E35" i="4" a="1"/>
  <c r="E29" i="10" a="1"/>
  <c r="E68" i="9" a="1"/>
  <c r="E84" i="3" a="1"/>
  <c r="E28" i="3" a="1"/>
  <c r="E97" i="10" a="1"/>
  <c r="E71" i="5" a="1"/>
  <c r="E94" i="5" a="1"/>
  <c r="E14" i="10" a="1"/>
  <c r="E73" i="5" a="1"/>
  <c r="E85" i="4" a="1"/>
  <c r="E55" i="3" a="1"/>
  <c r="E94" i="8" a="1"/>
  <c r="E16" i="10" a="1"/>
  <c r="E80" i="3" a="1"/>
  <c r="E63" i="10" a="1"/>
  <c r="E94" i="4" a="1"/>
  <c r="E91" i="8" a="1"/>
  <c r="E18" i="3" a="1"/>
  <c r="E83" i="4" a="1"/>
  <c r="E91" i="10" a="1"/>
  <c r="E22" i="10" a="1"/>
  <c r="E68" i="10" a="1"/>
  <c r="E85" i="10" a="1"/>
  <c r="E40" i="9" a="1"/>
  <c r="E29" i="9" a="1"/>
  <c r="E71" i="8" a="1"/>
  <c r="E36" i="9" a="1"/>
  <c r="E88" i="10" a="1"/>
  <c r="E46" i="10" a="1"/>
  <c r="E62" i="4" a="1"/>
  <c r="E85" i="5" a="1"/>
  <c r="E42" i="8" a="1"/>
  <c r="E75" i="10" a="1"/>
  <c r="E21" i="3" a="1"/>
  <c r="E28" i="5" a="1"/>
  <c r="E65" i="10" a="1"/>
  <c r="E55" i="9" a="1"/>
  <c r="E30" i="3" a="1"/>
  <c r="E55" i="4" a="1"/>
  <c r="E45" i="9" a="1"/>
  <c r="E14" i="5" a="1"/>
  <c r="E88" i="9" a="1"/>
  <c r="E66" i="3" a="1"/>
  <c r="E73" i="8" a="1"/>
  <c r="E94" i="10" a="1"/>
  <c r="E43" i="9" a="1"/>
  <c r="E98" i="5" a="1"/>
  <c r="E39" i="9" a="1"/>
  <c r="E73" i="10" a="1"/>
  <c r="E79" i="8" a="1"/>
  <c r="E80" i="10" a="1"/>
  <c r="E39" i="5" a="1"/>
  <c r="E20" i="9" a="1"/>
  <c r="E14" i="4" a="1"/>
  <c r="E27" i="5" a="1"/>
  <c r="E23" i="10" a="1"/>
  <c r="E38" i="3" a="1"/>
  <c r="E79" i="4" a="1"/>
  <c r="E16" i="9" a="1"/>
  <c r="E46" i="5" a="1"/>
  <c r="E83" i="5" a="1"/>
  <c r="E95" i="5" a="1"/>
  <c r="E36" i="3" a="1"/>
  <c r="E68" i="8" a="1"/>
  <c r="E63" i="8" a="1"/>
  <c r="E84" i="8" a="1"/>
  <c r="E85" i="9" a="1"/>
  <c r="E26" i="3" a="1"/>
  <c r="E65" i="5" a="1"/>
  <c r="E64" i="5" a="1"/>
  <c r="E31" i="10" a="1"/>
  <c r="E68" i="3" a="1"/>
  <c r="E30" i="4" a="1"/>
  <c r="E46" i="3" a="1"/>
  <c r="E74" i="3" a="1"/>
  <c r="E18" i="9" a="1"/>
  <c r="E67" i="4" a="1"/>
  <c r="E36" i="5" a="1"/>
  <c r="E44" i="5" a="1"/>
  <c r="E91" i="3" a="1"/>
  <c r="E68" i="5" a="1"/>
  <c r="E41" i="10" a="1"/>
  <c r="E62" i="8" a="1"/>
  <c r="E75" i="4" a="1"/>
  <c r="E88" i="8" a="1"/>
  <c r="E26" i="10" a="1"/>
  <c r="E98" i="3" a="1"/>
  <c r="E76" i="10" a="1"/>
  <c r="E21" i="9" a="1"/>
  <c r="E43" i="3" a="1"/>
  <c r="E79" i="3" a="1"/>
  <c r="E39" i="8" a="1"/>
  <c r="E64" i="4" a="1"/>
  <c r="E21" i="10" a="1"/>
  <c r="E72" i="3" a="1"/>
  <c r="E95" i="9" a="1"/>
  <c r="E47" i="9" a="1"/>
  <c r="E20" i="10" a="1"/>
  <c r="E55" i="10" a="1"/>
  <c r="E91" i="5" a="1"/>
  <c r="E44" i="9" a="1"/>
  <c r="E41" i="5" a="1"/>
  <c r="E35" i="3" a="1"/>
  <c r="E34" i="9" a="1"/>
  <c r="E45" i="8" a="1"/>
  <c r="E39" i="3" a="1"/>
  <c r="E23" i="4" a="1"/>
  <c r="E46" i="4" a="1"/>
  <c r="E39" i="10" a="1"/>
  <c r="E58" i="9" a="1"/>
  <c r="E88" i="4" a="1"/>
  <c r="E48" i="4" a="1"/>
  <c r="E71" i="3" a="1"/>
  <c r="E35" i="10" a="1"/>
  <c r="E42" i="9" a="1"/>
  <c r="E83" i="3" a="1"/>
  <c r="E72" i="10" a="1"/>
  <c r="E85" i="8" a="1"/>
  <c r="E76" i="5" a="1"/>
  <c r="E43" i="10" a="1"/>
  <c r="B52" i="8" l="1"/>
  <c r="B103" i="4"/>
  <c r="G103" i="4" s="1"/>
  <c r="B52" i="4"/>
  <c r="B103" i="3"/>
  <c r="G103" i="3" s="1"/>
  <c r="B102" i="5"/>
  <c r="G102" i="5" s="1"/>
  <c r="B52" i="5"/>
  <c r="B102" i="9"/>
  <c r="G102" i="9" s="1"/>
  <c r="B52" i="9"/>
  <c r="B102" i="10"/>
  <c r="G102" i="10" s="1"/>
  <c r="B52" i="10"/>
  <c r="E37" i="8"/>
  <c r="G37" i="8" s="1"/>
  <c r="E91" i="8"/>
  <c r="G91" i="8" s="1"/>
  <c r="E83" i="8"/>
  <c r="G83" i="8" s="1"/>
  <c r="E96" i="8"/>
  <c r="G96" i="8" s="1"/>
  <c r="E75" i="8"/>
  <c r="G75" i="8" s="1"/>
  <c r="E71" i="8"/>
  <c r="G71" i="8" s="1"/>
  <c r="E65" i="8"/>
  <c r="G65" i="8" s="1"/>
  <c r="E61" i="8"/>
  <c r="G61" i="8" s="1"/>
  <c r="E47" i="8"/>
  <c r="G47" i="8" s="1"/>
  <c r="E43" i="8"/>
  <c r="G43" i="8" s="1"/>
  <c r="E39" i="8"/>
  <c r="G39" i="8" s="1"/>
  <c r="E52" i="8"/>
  <c r="E88" i="8"/>
  <c r="G88" i="8" s="1"/>
  <c r="E80" i="8"/>
  <c r="G80" i="8" s="1"/>
  <c r="E74" i="8"/>
  <c r="G74" i="8" s="1"/>
  <c r="E68" i="8"/>
  <c r="G68" i="8" s="1"/>
  <c r="E64" i="8"/>
  <c r="G64" i="8" s="1"/>
  <c r="E58" i="8"/>
  <c r="G58" i="8" s="1"/>
  <c r="E46" i="8"/>
  <c r="G46" i="8" s="1"/>
  <c r="E42" i="8"/>
  <c r="G42" i="8" s="1"/>
  <c r="E98" i="8"/>
  <c r="G98" i="8" s="1"/>
  <c r="E95" i="8"/>
  <c r="G95" i="8" s="1"/>
  <c r="E85" i="8"/>
  <c r="G85" i="8" s="1"/>
  <c r="E79" i="8"/>
  <c r="G79" i="8" s="1"/>
  <c r="E73" i="8"/>
  <c r="G73" i="8" s="1"/>
  <c r="E67" i="8"/>
  <c r="G67" i="8" s="1"/>
  <c r="E63" i="8"/>
  <c r="G63" i="8" s="1"/>
  <c r="E57" i="8"/>
  <c r="G57" i="8" s="1"/>
  <c r="E49" i="8"/>
  <c r="G49" i="8" s="1"/>
  <c r="E45" i="8"/>
  <c r="G45" i="8" s="1"/>
  <c r="E41" i="8"/>
  <c r="G41" i="8" s="1"/>
  <c r="E97" i="8"/>
  <c r="G97" i="8" s="1"/>
  <c r="E94" i="8"/>
  <c r="G94" i="8" s="1"/>
  <c r="E84" i="8"/>
  <c r="G84" i="8" s="1"/>
  <c r="E76" i="8"/>
  <c r="G76" i="8" s="1"/>
  <c r="E72" i="8"/>
  <c r="G72" i="8" s="1"/>
  <c r="E66" i="8"/>
  <c r="G66" i="8" s="1"/>
  <c r="E62" i="8"/>
  <c r="G62" i="8" s="1"/>
  <c r="E48" i="8"/>
  <c r="G48" i="8" s="1"/>
  <c r="E44" i="8"/>
  <c r="G44" i="8" s="1"/>
  <c r="E40" i="8"/>
  <c r="G40" i="8" s="1"/>
  <c r="E55" i="8"/>
  <c r="G55" i="8" s="1"/>
  <c r="E98" i="10"/>
  <c r="E97" i="10"/>
  <c r="E96" i="10"/>
  <c r="E95" i="10"/>
  <c r="E94" i="10"/>
  <c r="E97" i="9"/>
  <c r="E98" i="9"/>
  <c r="E96" i="9"/>
  <c r="E95" i="9"/>
  <c r="E94" i="9"/>
  <c r="E98" i="5"/>
  <c r="E97" i="5"/>
  <c r="E96" i="5"/>
  <c r="E95" i="5"/>
  <c r="E94" i="5"/>
  <c r="E96" i="3"/>
  <c r="E98" i="3"/>
  <c r="E97" i="3"/>
  <c r="E95" i="3"/>
  <c r="E94" i="3"/>
  <c r="E98" i="4"/>
  <c r="E97" i="4"/>
  <c r="E96" i="4"/>
  <c r="E95" i="4"/>
  <c r="E94" i="4"/>
  <c r="E45" i="4"/>
  <c r="G45" i="4" s="1"/>
  <c r="E91" i="3"/>
  <c r="G91" i="3" s="1"/>
  <c r="E74" i="3"/>
  <c r="G74" i="3" s="1"/>
  <c r="E44" i="5"/>
  <c r="G44" i="5" s="1"/>
  <c r="E74" i="5"/>
  <c r="G74" i="5" s="1"/>
  <c r="E13" i="10"/>
  <c r="G13" i="10" s="1"/>
  <c r="E63" i="3"/>
  <c r="G63" i="3" s="1"/>
  <c r="E65" i="4"/>
  <c r="G65" i="4" s="1"/>
  <c r="E75" i="3"/>
  <c r="G75" i="3" s="1"/>
  <c r="E45" i="10"/>
  <c r="G45" i="10" s="1"/>
  <c r="E23" i="3"/>
  <c r="G23" i="3" s="1"/>
  <c r="E80" i="5"/>
  <c r="G80" i="5" s="1"/>
  <c r="E46" i="10"/>
  <c r="G46" i="10" s="1"/>
  <c r="E27" i="4"/>
  <c r="G27" i="4" s="1"/>
  <c r="E14" i="3"/>
  <c r="G14" i="3" s="1"/>
  <c r="E34" i="10"/>
  <c r="G34" i="10" s="1"/>
  <c r="E15" i="4"/>
  <c r="G15" i="4" s="1"/>
  <c r="E68" i="9"/>
  <c r="G68" i="9" s="1"/>
  <c r="E57" i="4"/>
  <c r="G57" i="4" s="1"/>
  <c r="E83" i="3"/>
  <c r="G83" i="3" s="1"/>
  <c r="E14" i="5"/>
  <c r="G14" i="5" s="1"/>
  <c r="E39" i="9"/>
  <c r="G39" i="9" s="1"/>
  <c r="E44" i="4"/>
  <c r="G44" i="4" s="1"/>
  <c r="E55" i="3"/>
  <c r="G55" i="3" s="1"/>
  <c r="E52" i="9"/>
  <c r="E31" i="5"/>
  <c r="G31" i="5" s="1"/>
  <c r="E35" i="4"/>
  <c r="E76" i="4"/>
  <c r="G76" i="4" s="1"/>
  <c r="E62" i="3"/>
  <c r="G62" i="3" s="1"/>
  <c r="E19" i="5"/>
  <c r="G19" i="5" s="1"/>
  <c r="E64" i="4"/>
  <c r="G64" i="4" s="1"/>
  <c r="E22" i="3"/>
  <c r="G22" i="3" s="1"/>
  <c r="E36" i="3"/>
  <c r="E79" i="4"/>
  <c r="G79" i="4" s="1"/>
  <c r="E65" i="5"/>
  <c r="G65" i="5" s="1"/>
  <c r="E17" i="9"/>
  <c r="G17" i="9" s="1"/>
  <c r="E16" i="4"/>
  <c r="G16" i="4" s="1"/>
  <c r="E72" i="10"/>
  <c r="G72" i="10" s="1"/>
  <c r="E91" i="5"/>
  <c r="G91" i="5" s="1"/>
  <c r="E39" i="4"/>
  <c r="G39" i="4" s="1"/>
  <c r="E17" i="3"/>
  <c r="G17" i="3" s="1"/>
  <c r="E26" i="5"/>
  <c r="G26" i="5" s="1"/>
  <c r="E22" i="9"/>
  <c r="G22" i="9" s="1"/>
  <c r="E28" i="4"/>
  <c r="G28" i="4" s="1"/>
  <c r="E58" i="4"/>
  <c r="G58" i="4" s="1"/>
  <c r="E67" i="3"/>
  <c r="G67" i="3" s="1"/>
  <c r="E38" i="5"/>
  <c r="G38" i="5" s="1"/>
  <c r="E58" i="5"/>
  <c r="G58" i="5" s="1"/>
  <c r="E67" i="5"/>
  <c r="G67" i="5" s="1"/>
  <c r="E61" i="9"/>
  <c r="G61" i="9" s="1"/>
  <c r="E80" i="10"/>
  <c r="G80" i="10" s="1"/>
  <c r="E20" i="4"/>
  <c r="G20" i="4" s="1"/>
  <c r="E17" i="5"/>
  <c r="G17" i="5" s="1"/>
  <c r="E45" i="5"/>
  <c r="G45" i="5" s="1"/>
  <c r="E40" i="4"/>
  <c r="G40" i="4" s="1"/>
  <c r="E61" i="4"/>
  <c r="G61" i="4" s="1"/>
  <c r="E84" i="4"/>
  <c r="G84" i="4" s="1"/>
  <c r="E38" i="3"/>
  <c r="G38" i="3" s="1"/>
  <c r="E91" i="9"/>
  <c r="G91" i="9" s="1"/>
  <c r="E18" i="3"/>
  <c r="G18" i="3" s="1"/>
  <c r="E83" i="5"/>
  <c r="G83" i="5" s="1"/>
  <c r="E38" i="9"/>
  <c r="G38" i="9" s="1"/>
  <c r="E49" i="4"/>
  <c r="G49" i="4" s="1"/>
  <c r="E29" i="3"/>
  <c r="G29" i="3" s="1"/>
  <c r="E47" i="3"/>
  <c r="G47" i="3" s="1"/>
  <c r="E68" i="3"/>
  <c r="G68" i="3" s="1"/>
  <c r="E39" i="5"/>
  <c r="G39" i="5" s="1"/>
  <c r="E61" i="5"/>
  <c r="G61" i="5" s="1"/>
  <c r="E62" i="9"/>
  <c r="G62" i="9" s="1"/>
  <c r="E75" i="9"/>
  <c r="G75" i="9" s="1"/>
  <c r="E17" i="10"/>
  <c r="G17" i="10" s="1"/>
  <c r="E21" i="4"/>
  <c r="G21" i="4" s="1"/>
  <c r="E72" i="4"/>
  <c r="G72" i="4" s="1"/>
  <c r="E85" i="4"/>
  <c r="G85" i="4" s="1"/>
  <c r="E30" i="5"/>
  <c r="G30" i="5" s="1"/>
  <c r="E73" i="5"/>
  <c r="G73" i="5" s="1"/>
  <c r="E49" i="9"/>
  <c r="G49" i="9" s="1"/>
  <c r="E52" i="10"/>
  <c r="G52" i="10" s="1"/>
  <c r="E31" i="10"/>
  <c r="G31" i="10" s="1"/>
  <c r="E71" i="10"/>
  <c r="G71" i="10" s="1"/>
  <c r="E34" i="4"/>
  <c r="G34" i="4" s="1"/>
  <c r="E13" i="5"/>
  <c r="G13" i="5" s="1"/>
  <c r="E29" i="9"/>
  <c r="G29" i="9" s="1"/>
  <c r="E27" i="5"/>
  <c r="G27" i="5" s="1"/>
  <c r="E64" i="9"/>
  <c r="G64" i="9" s="1"/>
  <c r="E43" i="3"/>
  <c r="G43" i="3" s="1"/>
  <c r="E40" i="5"/>
  <c r="G40" i="5" s="1"/>
  <c r="E13" i="9"/>
  <c r="G13" i="9" s="1"/>
  <c r="E34" i="9"/>
  <c r="G34" i="9" s="1"/>
  <c r="E46" i="9"/>
  <c r="G46" i="9" s="1"/>
  <c r="E47" i="10"/>
  <c r="G47" i="10" s="1"/>
  <c r="E55" i="10"/>
  <c r="G55" i="10" s="1"/>
  <c r="E65" i="10"/>
  <c r="G65" i="10" s="1"/>
  <c r="E17" i="4"/>
  <c r="G17" i="4" s="1"/>
  <c r="E22" i="4"/>
  <c r="G22" i="4" s="1"/>
  <c r="E29" i="4"/>
  <c r="G29" i="4" s="1"/>
  <c r="E73" i="4"/>
  <c r="G73" i="4" s="1"/>
  <c r="E48" i="3"/>
  <c r="G48" i="3" s="1"/>
  <c r="E64" i="3"/>
  <c r="G64" i="3" s="1"/>
  <c r="E63" i="5"/>
  <c r="G63" i="5" s="1"/>
  <c r="E68" i="5"/>
  <c r="G68" i="5" s="1"/>
  <c r="E75" i="5"/>
  <c r="G75" i="5" s="1"/>
  <c r="E14" i="10"/>
  <c r="G14" i="10" s="1"/>
  <c r="E36" i="10"/>
  <c r="E42" i="10"/>
  <c r="G42" i="10" s="1"/>
  <c r="E42" i="4"/>
  <c r="G42" i="4" s="1"/>
  <c r="E62" i="4"/>
  <c r="G62" i="4" s="1"/>
  <c r="E80" i="4"/>
  <c r="G80" i="4" s="1"/>
  <c r="E34" i="3"/>
  <c r="G34" i="3" s="1"/>
  <c r="E39" i="3"/>
  <c r="G39" i="3" s="1"/>
  <c r="E57" i="3"/>
  <c r="G57" i="3" s="1"/>
  <c r="E76" i="3"/>
  <c r="G76" i="3" s="1"/>
  <c r="E15" i="5"/>
  <c r="G15" i="5" s="1"/>
  <c r="E41" i="5"/>
  <c r="G41" i="5" s="1"/>
  <c r="E84" i="5"/>
  <c r="G84" i="5" s="1"/>
  <c r="E41" i="9"/>
  <c r="G41" i="9" s="1"/>
  <c r="E23" i="9"/>
  <c r="G23" i="9" s="1"/>
  <c r="E80" i="9"/>
  <c r="G80" i="9" s="1"/>
  <c r="E64" i="10"/>
  <c r="G64" i="10" s="1"/>
  <c r="E83" i="10"/>
  <c r="G83" i="10" s="1"/>
  <c r="E46" i="4"/>
  <c r="G46" i="4" s="1"/>
  <c r="E88" i="4"/>
  <c r="G88" i="4" s="1"/>
  <c r="E19" i="3"/>
  <c r="G19" i="3" s="1"/>
  <c r="E84" i="3"/>
  <c r="G84" i="3" s="1"/>
  <c r="E34" i="5"/>
  <c r="G34" i="5" s="1"/>
  <c r="E72" i="9"/>
  <c r="G72" i="9" s="1"/>
  <c r="E27" i="10"/>
  <c r="G27" i="10" s="1"/>
  <c r="E52" i="4"/>
  <c r="G52" i="4" s="1"/>
  <c r="E66" i="4"/>
  <c r="G66" i="4" s="1"/>
  <c r="E71" i="3"/>
  <c r="G71" i="3" s="1"/>
  <c r="E55" i="5"/>
  <c r="G55" i="5" s="1"/>
  <c r="E30" i="4"/>
  <c r="G30" i="4" s="1"/>
  <c r="E47" i="4"/>
  <c r="G47" i="4" s="1"/>
  <c r="E67" i="4"/>
  <c r="G67" i="4" s="1"/>
  <c r="E91" i="4"/>
  <c r="G91" i="4" s="1"/>
  <c r="E21" i="5"/>
  <c r="G21" i="5" s="1"/>
  <c r="E28" i="5"/>
  <c r="G28" i="5" s="1"/>
  <c r="E35" i="5"/>
  <c r="E47" i="5"/>
  <c r="G47" i="5" s="1"/>
  <c r="E27" i="9"/>
  <c r="G27" i="9" s="1"/>
  <c r="E83" i="9"/>
  <c r="G83" i="9" s="1"/>
  <c r="E75" i="10"/>
  <c r="G75" i="10" s="1"/>
  <c r="E14" i="4"/>
  <c r="G14" i="4" s="1"/>
  <c r="E55" i="4"/>
  <c r="G55" i="4" s="1"/>
  <c r="E16" i="3"/>
  <c r="G16" i="3" s="1"/>
  <c r="E44" i="3"/>
  <c r="G44" i="3" s="1"/>
  <c r="E65" i="3"/>
  <c r="G65" i="3" s="1"/>
  <c r="E72" i="3"/>
  <c r="G72" i="3" s="1"/>
  <c r="E88" i="3"/>
  <c r="G88" i="3" s="1"/>
  <c r="E16" i="5"/>
  <c r="G16" i="5" s="1"/>
  <c r="E42" i="5"/>
  <c r="G42" i="5" s="1"/>
  <c r="E64" i="5"/>
  <c r="G64" i="5" s="1"/>
  <c r="E85" i="5"/>
  <c r="G85" i="5" s="1"/>
  <c r="E14" i="9"/>
  <c r="G14" i="9" s="1"/>
  <c r="E19" i="9"/>
  <c r="G19" i="9" s="1"/>
  <c r="E35" i="9"/>
  <c r="E74" i="9"/>
  <c r="G74" i="9" s="1"/>
  <c r="E43" i="10"/>
  <c r="G43" i="10" s="1"/>
  <c r="E66" i="10"/>
  <c r="G66" i="10" s="1"/>
  <c r="E38" i="4"/>
  <c r="G38" i="4" s="1"/>
  <c r="E63" i="4"/>
  <c r="G63" i="4" s="1"/>
  <c r="E74" i="4"/>
  <c r="G74" i="4" s="1"/>
  <c r="E28" i="3"/>
  <c r="G28" i="3" s="1"/>
  <c r="E57" i="5"/>
  <c r="G57" i="5" s="1"/>
  <c r="E71" i="5"/>
  <c r="G71" i="5" s="1"/>
  <c r="E76" i="5"/>
  <c r="G76" i="5" s="1"/>
  <c r="E58" i="9"/>
  <c r="G58" i="9" s="1"/>
  <c r="E66" i="9"/>
  <c r="G66" i="9" s="1"/>
  <c r="E29" i="10"/>
  <c r="G29" i="10" s="1"/>
  <c r="E58" i="10"/>
  <c r="G58" i="10" s="1"/>
  <c r="E76" i="10"/>
  <c r="G76" i="10" s="1"/>
  <c r="E26" i="4"/>
  <c r="G26" i="4" s="1"/>
  <c r="E43" i="4"/>
  <c r="G43" i="4" s="1"/>
  <c r="E35" i="3"/>
  <c r="E40" i="3"/>
  <c r="G40" i="3" s="1"/>
  <c r="E73" i="3"/>
  <c r="G73" i="3" s="1"/>
  <c r="E38" i="10"/>
  <c r="G38" i="10" s="1"/>
  <c r="E49" i="10"/>
  <c r="G49" i="10" s="1"/>
  <c r="E31" i="4"/>
  <c r="G31" i="4" s="1"/>
  <c r="E48" i="4"/>
  <c r="G48" i="4" s="1"/>
  <c r="E68" i="4"/>
  <c r="G68" i="4" s="1"/>
  <c r="E13" i="3"/>
  <c r="G13" i="3" s="1"/>
  <c r="E66" i="3"/>
  <c r="G66" i="3" s="1"/>
  <c r="E80" i="3"/>
  <c r="G80" i="3" s="1"/>
  <c r="E22" i="5"/>
  <c r="G22" i="5" s="1"/>
  <c r="E43" i="5"/>
  <c r="G43" i="5" s="1"/>
  <c r="E48" i="5"/>
  <c r="G48" i="5" s="1"/>
  <c r="E16" i="10"/>
  <c r="G16" i="10" s="1"/>
  <c r="E22" i="10"/>
  <c r="G22" i="10" s="1"/>
  <c r="E29" i="5"/>
  <c r="G29" i="5" s="1"/>
  <c r="E52" i="5"/>
  <c r="G52" i="5" s="1"/>
  <c r="E21" i="9"/>
  <c r="G21" i="9" s="1"/>
  <c r="E85" i="9"/>
  <c r="G85" i="9" s="1"/>
  <c r="E61" i="10"/>
  <c r="G61" i="10" s="1"/>
  <c r="E23" i="4"/>
  <c r="G23" i="4" s="1"/>
  <c r="E75" i="4"/>
  <c r="G75" i="4" s="1"/>
  <c r="E83" i="4"/>
  <c r="G83" i="4" s="1"/>
  <c r="E15" i="3"/>
  <c r="G15" i="3" s="1"/>
  <c r="E26" i="3"/>
  <c r="G26" i="3" s="1"/>
  <c r="E46" i="3"/>
  <c r="G46" i="3" s="1"/>
  <c r="E61" i="3"/>
  <c r="G61" i="3" s="1"/>
  <c r="E85" i="3"/>
  <c r="G85" i="3" s="1"/>
  <c r="E18" i="5"/>
  <c r="G18" i="5" s="1"/>
  <c r="E46" i="5"/>
  <c r="G46" i="5" s="1"/>
  <c r="E66" i="5"/>
  <c r="G66" i="5" s="1"/>
  <c r="E79" i="5"/>
  <c r="G79" i="5" s="1"/>
  <c r="E36" i="9"/>
  <c r="E55" i="9"/>
  <c r="G55" i="9" s="1"/>
  <c r="E68" i="10"/>
  <c r="G68" i="10" s="1"/>
  <c r="E19" i="4"/>
  <c r="G19" i="4" s="1"/>
  <c r="E36" i="4"/>
  <c r="E41" i="4"/>
  <c r="G41" i="4" s="1"/>
  <c r="E71" i="4"/>
  <c r="G71" i="4" s="1"/>
  <c r="E20" i="3"/>
  <c r="G20" i="3" s="1"/>
  <c r="E42" i="3"/>
  <c r="G42" i="3" s="1"/>
  <c r="E52" i="3"/>
  <c r="G52" i="3" s="1"/>
  <c r="E79" i="3"/>
  <c r="G79" i="3" s="1"/>
  <c r="E23" i="5"/>
  <c r="G23" i="5" s="1"/>
  <c r="E62" i="5"/>
  <c r="G62" i="5" s="1"/>
  <c r="E88" i="5"/>
  <c r="G88" i="5" s="1"/>
  <c r="E16" i="9"/>
  <c r="G16" i="9" s="1"/>
  <c r="E42" i="9"/>
  <c r="G42" i="9" s="1"/>
  <c r="E47" i="9"/>
  <c r="G47" i="9" s="1"/>
  <c r="E71" i="9"/>
  <c r="G71" i="9" s="1"/>
  <c r="E88" i="9"/>
  <c r="G88" i="9" s="1"/>
  <c r="E21" i="10"/>
  <c r="G21" i="10" s="1"/>
  <c r="E28" i="10"/>
  <c r="G28" i="10" s="1"/>
  <c r="E35" i="10"/>
  <c r="E41" i="10"/>
  <c r="G41" i="10" s="1"/>
  <c r="E85" i="10"/>
  <c r="G85" i="10" s="1"/>
  <c r="E18" i="4"/>
  <c r="G18" i="4" s="1"/>
  <c r="E30" i="3"/>
  <c r="G30" i="3" s="1"/>
  <c r="E41" i="3"/>
  <c r="G41" i="3" s="1"/>
  <c r="E45" i="3"/>
  <c r="G45" i="3" s="1"/>
  <c r="E49" i="3"/>
  <c r="G49" i="3" s="1"/>
  <c r="E20" i="5"/>
  <c r="G20" i="5" s="1"/>
  <c r="E72" i="5"/>
  <c r="G72" i="5" s="1"/>
  <c r="E18" i="9"/>
  <c r="G18" i="9" s="1"/>
  <c r="E31" i="9"/>
  <c r="G31" i="9" s="1"/>
  <c r="E43" i="9"/>
  <c r="G43" i="9" s="1"/>
  <c r="E76" i="9"/>
  <c r="G76" i="9" s="1"/>
  <c r="E19" i="10"/>
  <c r="G19" i="10" s="1"/>
  <c r="E39" i="10"/>
  <c r="G39" i="10" s="1"/>
  <c r="E88" i="10"/>
  <c r="G88" i="10" s="1"/>
  <c r="E74" i="10"/>
  <c r="G74" i="10" s="1"/>
  <c r="E91" i="10"/>
  <c r="G91" i="10" s="1"/>
  <c r="E21" i="3"/>
  <c r="G21" i="3" s="1"/>
  <c r="E27" i="3"/>
  <c r="G27" i="3" s="1"/>
  <c r="E31" i="3"/>
  <c r="G31" i="3" s="1"/>
  <c r="E58" i="3"/>
  <c r="G58" i="3" s="1"/>
  <c r="E49" i="5"/>
  <c r="G49" i="5" s="1"/>
  <c r="E28" i="9"/>
  <c r="G28" i="9" s="1"/>
  <c r="E45" i="9"/>
  <c r="G45" i="9" s="1"/>
  <c r="E65" i="9"/>
  <c r="G65" i="9" s="1"/>
  <c r="E18" i="10"/>
  <c r="G18" i="10" s="1"/>
  <c r="E23" i="10"/>
  <c r="G23" i="10" s="1"/>
  <c r="E62" i="10"/>
  <c r="G62" i="10" s="1"/>
  <c r="E15" i="9"/>
  <c r="G15" i="9" s="1"/>
  <c r="E40" i="9"/>
  <c r="G40" i="9" s="1"/>
  <c r="E44" i="9"/>
  <c r="G44" i="9" s="1"/>
  <c r="E48" i="9"/>
  <c r="G48" i="9" s="1"/>
  <c r="E84" i="9"/>
  <c r="G84" i="9" s="1"/>
  <c r="E15" i="10"/>
  <c r="G15" i="10" s="1"/>
  <c r="E40" i="10"/>
  <c r="G40" i="10" s="1"/>
  <c r="E44" i="10"/>
  <c r="G44" i="10" s="1"/>
  <c r="E48" i="10"/>
  <c r="G48" i="10" s="1"/>
  <c r="E84" i="10"/>
  <c r="G84" i="10" s="1"/>
  <c r="E36" i="5"/>
  <c r="E20" i="9"/>
  <c r="G20" i="9" s="1"/>
  <c r="E26" i="9"/>
  <c r="G26" i="9" s="1"/>
  <c r="E30" i="9"/>
  <c r="G30" i="9" s="1"/>
  <c r="E57" i="9"/>
  <c r="G57" i="9" s="1"/>
  <c r="E63" i="9"/>
  <c r="G63" i="9" s="1"/>
  <c r="E67" i="9"/>
  <c r="G67" i="9" s="1"/>
  <c r="E73" i="9"/>
  <c r="G73" i="9" s="1"/>
  <c r="E79" i="9"/>
  <c r="G79" i="9" s="1"/>
  <c r="E20" i="10"/>
  <c r="G20" i="10" s="1"/>
  <c r="E26" i="10"/>
  <c r="G26" i="10" s="1"/>
  <c r="E30" i="10"/>
  <c r="G30" i="10" s="1"/>
  <c r="E57" i="10"/>
  <c r="G57" i="10" s="1"/>
  <c r="E63" i="10"/>
  <c r="G63" i="10" s="1"/>
  <c r="E67" i="10"/>
  <c r="G67" i="10" s="1"/>
  <c r="E73" i="10"/>
  <c r="G73" i="10" s="1"/>
  <c r="E79" i="10"/>
  <c r="G79" i="10" s="1"/>
  <c r="G52" i="8" l="1"/>
  <c r="G52" i="9"/>
  <c r="E37" i="4"/>
  <c r="G37" i="4" s="1"/>
  <c r="E37" i="5"/>
  <c r="G37" i="5" s="1"/>
  <c r="E37" i="9"/>
  <c r="G37" i="9" s="1"/>
  <c r="E37" i="10"/>
  <c r="G37" i="10" s="1"/>
  <c r="E37" i="3"/>
  <c r="G37" i="3" s="1"/>
  <c r="G94" i="4"/>
  <c r="G96" i="4"/>
  <c r="G98" i="4"/>
  <c r="G95" i="4"/>
  <c r="G97" i="4"/>
  <c r="G94" i="3"/>
  <c r="G96" i="3"/>
  <c r="G95" i="3"/>
  <c r="G97" i="3"/>
  <c r="G98" i="3"/>
  <c r="G94" i="5"/>
  <c r="G96" i="5"/>
  <c r="G97" i="5"/>
  <c r="G98" i="5"/>
  <c r="G95" i="5"/>
  <c r="G94" i="9"/>
  <c r="G97" i="9"/>
  <c r="G95" i="9"/>
  <c r="G98" i="9"/>
  <c r="G96" i="9"/>
  <c r="G94" i="10"/>
  <c r="G96" i="10"/>
  <c r="G98" i="10"/>
  <c r="G97" i="10"/>
  <c r="G9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<sst xmlns="http://schemas.openxmlformats.org/spreadsheetml/2006/main" count="4334" uniqueCount="268">
  <si>
    <t>Timeline:</t>
  </si>
  <si>
    <t>Engineering</t>
  </si>
  <si>
    <t xml:space="preserve">Model server: </t>
  </si>
  <si>
    <t>ProcessModel</t>
  </si>
  <si>
    <t>TAG in literature</t>
  </si>
  <si>
    <t>Value from Appendix A</t>
  </si>
  <si>
    <t>TAG in model</t>
  </si>
  <si>
    <t>SimulatedValue</t>
  </si>
  <si>
    <t>unit</t>
  </si>
  <si>
    <t>% deviation</t>
  </si>
  <si>
    <t>FLOW INTO ABSORBER</t>
  </si>
  <si>
    <t>FT06</t>
  </si>
  <si>
    <t>00FT001</t>
  </si>
  <si>
    <t>TV5</t>
  </si>
  <si>
    <t>degC</t>
  </si>
  <si>
    <t>ABSORBER</t>
  </si>
  <si>
    <t>TAB</t>
  </si>
  <si>
    <t>TA01</t>
  </si>
  <si>
    <t>00TA001</t>
  </si>
  <si>
    <t>TA02</t>
  </si>
  <si>
    <t>TA03</t>
  </si>
  <si>
    <t>TA04</t>
  </si>
  <si>
    <t>TA05</t>
  </si>
  <si>
    <t>TA06</t>
  </si>
  <si>
    <t>TA07</t>
  </si>
  <si>
    <t>TA08</t>
  </si>
  <si>
    <t>DESORBER</t>
  </si>
  <si>
    <t>REBOILER</t>
  </si>
  <si>
    <t>CONDENSER</t>
  </si>
  <si>
    <t>SETPOINTS SET IN MCL</t>
  </si>
  <si>
    <t>00FIC001</t>
  </si>
  <si>
    <t>m3/h</t>
  </si>
  <si>
    <t>00FC001</t>
  </si>
  <si>
    <t>kg/h</t>
  </si>
  <si>
    <t>Comment</t>
  </si>
  <si>
    <t>Gas Flow Rate</t>
  </si>
  <si>
    <t>Solvent Flow Rate Lean input</t>
  </si>
  <si>
    <t>Temperature Lean Solvent LeanMEA_inn</t>
  </si>
  <si>
    <t>02TIC002</t>
  </si>
  <si>
    <t>Reboiler Duty</t>
  </si>
  <si>
    <t>02QIC001</t>
  </si>
  <si>
    <t>kW</t>
  </si>
  <si>
    <t>Absorber Inlet CO2 Temperature</t>
  </si>
  <si>
    <t>mol/mol</t>
  </si>
  <si>
    <t>CO2 Loading Lean input</t>
  </si>
  <si>
    <t>Pressure in absorber</t>
  </si>
  <si>
    <t>00PIC002</t>
  </si>
  <si>
    <t>PI_100</t>
  </si>
  <si>
    <t>Pressure in reboiler</t>
  </si>
  <si>
    <t>04PIC001</t>
  </si>
  <si>
    <t>mbar</t>
  </si>
  <si>
    <t>barg</t>
  </si>
  <si>
    <t>EX03 cooling loop</t>
  </si>
  <si>
    <t>03TIC001</t>
  </si>
  <si>
    <t>EX04 cooling loop</t>
  </si>
  <si>
    <t>04TIC001</t>
  </si>
  <si>
    <t>CO2_IN</t>
  </si>
  <si>
    <t>CO2_OUT</t>
  </si>
  <si>
    <t>FT_100</t>
  </si>
  <si>
    <t>FT_101</t>
  </si>
  <si>
    <t>FT_EH</t>
  </si>
  <si>
    <t>FT_EM</t>
  </si>
  <si>
    <t>FT_VASK</t>
  </si>
  <si>
    <t>HE_04/05/06</t>
  </si>
  <si>
    <t>LT_01</t>
  </si>
  <si>
    <t>LT_02</t>
  </si>
  <si>
    <t>PI_102</t>
  </si>
  <si>
    <t>PI_103</t>
  </si>
  <si>
    <t>PT_02</t>
  </si>
  <si>
    <t>PT_04</t>
  </si>
  <si>
    <t>PT11</t>
  </si>
  <si>
    <t>QT_100</t>
  </si>
  <si>
    <t>QT_101</t>
  </si>
  <si>
    <t>TA00</t>
  </si>
  <si>
    <t>TI_01</t>
  </si>
  <si>
    <t>TI_03</t>
  </si>
  <si>
    <t>TI_04</t>
  </si>
  <si>
    <t>TI_05</t>
  </si>
  <si>
    <t>TI_06</t>
  </si>
  <si>
    <t>TI_07</t>
  </si>
  <si>
    <t>TI_08</t>
  </si>
  <si>
    <t>TI_09</t>
  </si>
  <si>
    <t>TI_11</t>
  </si>
  <si>
    <t>TI_15</t>
  </si>
  <si>
    <t>TS01</t>
  </si>
  <si>
    <t>TS02</t>
  </si>
  <si>
    <t>TS03</t>
  </si>
  <si>
    <t>TS04</t>
  </si>
  <si>
    <t>TS05</t>
  </si>
  <si>
    <t>TT_01</t>
  </si>
  <si>
    <t>TT_02</t>
  </si>
  <si>
    <t>TT_03</t>
  </si>
  <si>
    <t>TT103</t>
  </si>
  <si>
    <t>dry %</t>
  </si>
  <si>
    <t>L</t>
  </si>
  <si>
    <t>kg/l</t>
  </si>
  <si>
    <t>% CO2</t>
  </si>
  <si>
    <t>FLOW OUT OF ABSORBER</t>
  </si>
  <si>
    <t>Denne eksisterer ikke i K-Spice</t>
  </si>
  <si>
    <t>EX01</t>
  </si>
  <si>
    <t>EX03</t>
  </si>
  <si>
    <t>EX04</t>
  </si>
  <si>
    <t>UKJENT PLASSERING</t>
  </si>
  <si>
    <t>Antar dette er extra column (dp)</t>
  </si>
  <si>
    <t>PT11 + LT_01</t>
  </si>
  <si>
    <t>LAL_IN</t>
  </si>
  <si>
    <t>Data-tag in model</t>
  </si>
  <si>
    <t>LeanMEA_inn</t>
  </si>
  <si>
    <t>Temperature Lean Solvent LeanMEA_ut</t>
  </si>
  <si>
    <t>LeanAmineInput</t>
  </si>
  <si>
    <t>LeanAmineInput:OutletStream.t</t>
  </si>
  <si>
    <t>00FIC001:InternalSetpoint</t>
  </si>
  <si>
    <t>00FC001:InternalSetpoint</t>
  </si>
  <si>
    <t>LeanMEA_inn:InstructorTemperature</t>
  </si>
  <si>
    <t>LAL_IN:Output</t>
  </si>
  <si>
    <t>00PIC002:InternalSetpoint</t>
  </si>
  <si>
    <t>04PIC001:InternalSetpoint</t>
  </si>
  <si>
    <t>03TIC001:InternalSetpoint</t>
  </si>
  <si>
    <t>04TIC001:InternalSetpoint</t>
  </si>
  <si>
    <t>00FT001:MeasuredValue</t>
  </si>
  <si>
    <t>00FT003</t>
  </si>
  <si>
    <t>00FT003:MeasuredValue</t>
  </si>
  <si>
    <t>GasToAbsorber</t>
  </si>
  <si>
    <t>GasToAbsorber:OutputCompositionVector[4]</t>
  </si>
  <si>
    <t>CO2_OUT (Gas)</t>
  </si>
  <si>
    <t>CO2_OUT (In MEA)</t>
  </si>
  <si>
    <t>CO2 in gas form</t>
  </si>
  <si>
    <t>CO2 in MEA</t>
  </si>
  <si>
    <t>GasFromAbsorber</t>
  </si>
  <si>
    <t>GasFromAbsorber:OutputCompositionVector[4]</t>
  </si>
  <si>
    <t>GasFromAbsorber:OutputCompositionVector[2]</t>
  </si>
  <si>
    <t>00PI100</t>
  </si>
  <si>
    <t>00PI102</t>
  </si>
  <si>
    <t>00PI100:MeasuredValue</t>
  </si>
  <si>
    <t>00PI102:MeasuredValue</t>
  </si>
  <si>
    <t xml:space="preserve">TI_20 </t>
  </si>
  <si>
    <t>Finnes ikke i Appendix A</t>
  </si>
  <si>
    <t>00TA000</t>
  </si>
  <si>
    <t>00TA002</t>
  </si>
  <si>
    <t>00TA003</t>
  </si>
  <si>
    <t>00TA004</t>
  </si>
  <si>
    <t>00TA005</t>
  </si>
  <si>
    <t>00TA006</t>
  </si>
  <si>
    <t>00TA007</t>
  </si>
  <si>
    <t>00TI015</t>
  </si>
  <si>
    <t>00QIT001</t>
  </si>
  <si>
    <t>00TA000:MeasuredValue</t>
  </si>
  <si>
    <t>00TA001:MeasuredValue</t>
  </si>
  <si>
    <t>00TA002:MeasuredValue</t>
  </si>
  <si>
    <t>00TA003:MeasuredValue</t>
  </si>
  <si>
    <t>00TA004:MeasuredValue</t>
  </si>
  <si>
    <t>00TA005:MeasuredValue</t>
  </si>
  <si>
    <t>00TA006:MeasuredValue</t>
  </si>
  <si>
    <t>00TA007:MeasuredValue</t>
  </si>
  <si>
    <t>00TI015:MeasuredValue</t>
  </si>
  <si>
    <t>00QIT001:MeasuredValue</t>
  </si>
  <si>
    <t>00FT101</t>
  </si>
  <si>
    <t>00FT101:MeasuredValue</t>
  </si>
  <si>
    <t>00TI003</t>
  </si>
  <si>
    <t>00TI003:MeasuredValue</t>
  </si>
  <si>
    <t>00TI004:MeasuredValue</t>
  </si>
  <si>
    <t>00TI004</t>
  </si>
  <si>
    <t>01TS001</t>
  </si>
  <si>
    <t>01TS002</t>
  </si>
  <si>
    <t>01TS003</t>
  </si>
  <si>
    <t>01TS004</t>
  </si>
  <si>
    <t>01TS005</t>
  </si>
  <si>
    <t>01TI009</t>
  </si>
  <si>
    <t>01TI011</t>
  </si>
  <si>
    <t>01TS001:MeasuredValue</t>
  </si>
  <si>
    <t>01TS002:MeasuredValue</t>
  </si>
  <si>
    <t>01TS003:MeasuredValue</t>
  </si>
  <si>
    <t>01TS004:MeasuredValue</t>
  </si>
  <si>
    <t>01TS005:MeasuredValue</t>
  </si>
  <si>
    <t>01TI009:MeasuredValue</t>
  </si>
  <si>
    <t>01TI011:MeasuredValue</t>
  </si>
  <si>
    <t>04FT001</t>
  </si>
  <si>
    <t>02QI001</t>
  </si>
  <si>
    <t>02PI002</t>
  </si>
  <si>
    <t>04TI008</t>
  </si>
  <si>
    <t>02TI010</t>
  </si>
  <si>
    <t>04FT001:MeasuredValue</t>
  </si>
  <si>
    <t>02QI001:MeasuredValue</t>
  </si>
  <si>
    <t>02PI002:MeasuredValue</t>
  </si>
  <si>
    <t>04TI008:MeasuredValue</t>
  </si>
  <si>
    <t>02TI010:MeasuredValue</t>
  </si>
  <si>
    <t>04FT004</t>
  </si>
  <si>
    <t>04FT004:MeasuredValue</t>
  </si>
  <si>
    <t>01TT103</t>
  </si>
  <si>
    <t>02TI020</t>
  </si>
  <si>
    <t>01TI006</t>
  </si>
  <si>
    <t>01TT103:MeasuredValue</t>
  </si>
  <si>
    <t>02TI020:MeasuredValue</t>
  </si>
  <si>
    <t>01TI006:MeasuredValue</t>
  </si>
  <si>
    <t>03TT001</t>
  </si>
  <si>
    <t>04TT002</t>
  </si>
  <si>
    <t>03TT001:MeasuredValue</t>
  </si>
  <si>
    <t>04TT002:MeasuredValue</t>
  </si>
  <si>
    <t>Fargevisning:</t>
  </si>
  <si>
    <t>Grønn:</t>
  </si>
  <si>
    <t>Gul:</t>
  </si>
  <si>
    <t>Rød:</t>
  </si>
  <si>
    <t xml:space="preserve"> </t>
  </si>
  <si>
    <t>Enhet</t>
  </si>
  <si>
    <t>m³/h</t>
  </si>
  <si>
    <t>°C</t>
  </si>
  <si>
    <t>TI10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</si>
  <si>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</si>
  <si>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</si>
  <si>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</si>
  <si>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</si>
  <si>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</si>
  <si>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</si>
  <si>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</si>
  <si>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</si>
  <si>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Test</t>
  </si>
  <si>
    <t>Case:</t>
  </si>
  <si>
    <t>l</t>
  </si>
  <si>
    <t>mbara</t>
  </si>
  <si>
    <t>02QIC001:InternalSetpoint</t>
  </si>
  <si>
    <t>02TIC002:InternalSetpoint</t>
  </si>
  <si>
    <t>02TT002</t>
  </si>
  <si>
    <t>02TT002:MeasuredValue</t>
  </si>
  <si>
    <t>04PT004</t>
  </si>
  <si>
    <t>04PT004:MeasuredValue</t>
  </si>
  <si>
    <t>02QIT001:MeasuredValue</t>
  </si>
  <si>
    <t>02QIT001</t>
  </si>
  <si>
    <t>01TI007</t>
  </si>
  <si>
    <t>01TI007:MeasuredValue</t>
  </si>
  <si>
    <t>%</t>
  </si>
  <si>
    <t>Combined CO2 % in treated gas</t>
  </si>
  <si>
    <t>00TIC000</t>
  </si>
  <si>
    <t>00TIC000:InternalSetpoint</t>
  </si>
  <si>
    <t>00TAB000</t>
  </si>
  <si>
    <t>00TAB000:MeasuredValue</t>
  </si>
  <si>
    <t>00PT001</t>
  </si>
  <si>
    <t>00PT001:MeasuredValue</t>
  </si>
  <si>
    <t>Lik TV5? Det er samme transpimmer i K-spice</t>
  </si>
  <si>
    <t>Absorber drum i K-spice = PT11 + LT_01</t>
  </si>
  <si>
    <t>Absorber-høyder</t>
  </si>
  <si>
    <t/>
  </si>
  <si>
    <t>Status:ItemUnknown</t>
  </si>
  <si>
    <t>Stripper høyder</t>
  </si>
  <si>
    <t>RAL:Output</t>
  </si>
  <si>
    <t>RAL</t>
  </si>
  <si>
    <t>Returnerer mer vann fra kondenser</t>
  </si>
  <si>
    <t>For høy strømning renset co2</t>
  </si>
  <si>
    <t>CCR</t>
  </si>
  <si>
    <t>SRD</t>
  </si>
  <si>
    <t>SSMB</t>
  </si>
  <si>
    <t>LAL</t>
  </si>
  <si>
    <t>LAL:Output</t>
  </si>
  <si>
    <t>CCR:Output</t>
  </si>
  <si>
    <t>SRD:Output</t>
  </si>
  <si>
    <t>SSMB:Output</t>
  </si>
  <si>
    <t>GJ/tonCO2</t>
  </si>
  <si>
    <t>Lean amine output (sinked)</t>
  </si>
  <si>
    <t>Carbon capture ratio</t>
  </si>
  <si>
    <t>Spesific reboiler Duty</t>
  </si>
  <si>
    <t>Steady State Mass Balance</t>
  </si>
  <si>
    <t>KPIs</t>
  </si>
  <si>
    <t>Beregnet</t>
  </si>
  <si>
    <t>Gj. Avvik:</t>
  </si>
  <si>
    <t>Case</t>
  </si>
  <si>
    <t>Tot Avvik</t>
  </si>
  <si>
    <t>table 8</t>
  </si>
  <si>
    <t>GJ KPI avvik:</t>
  </si>
  <si>
    <t>KPI avvik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</si>
</sst>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42424"/>
      <name val="Consolas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/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2" fontId="0" fillId="0" borderId="0" xfId="0" applyNumberForma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84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8F8F"/>
        </patternFill>
      </fill>
    </dxf>
  </dxfs>
  <tableStyles count="0" defaultTableStyle="TableStyleMedium2" defaultPivotStyle="PivotStyleMedium9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166a02754216417ea584dd8fc2df95dd">
      <tp>
        <v>1</v>
        <stp/>
        <stp>c8343858-b092-404f-8b90-61f5485b44ba</stp>
        <tr r="E74" s="3"/>
        <tr r="E74" s="10"/>
        <tr r="E74" s="5"/>
        <tr r="E74" s="9"/>
        <tr r="E74" s="4"/>
        <tr r="E74" s="8"/>
      </tp>
    </main>
    <main first="rtdsrv.166a02754216417ea584dd8fc2df95dd">
      <tp>
        <v>1</v>
        <stp/>
        <stp>9a86445c-3411-4af9-956e-f8623d8515f0</stp>
        <tr r="E46" s="4"/>
        <tr r="E46" s="3"/>
        <tr r="E46" s="5"/>
        <tr r="E46" s="10"/>
        <tr r="E46" s="9"/>
        <tr r="E46" s="8"/>
      </tp>
      <tp>
        <v>1</v>
        <stp/>
        <stp>c7bbb40d-f019-46d7-b6e2-63dd374873b0</stp>
        <tr r="E62" s="8"/>
        <tr r="E62" s="4"/>
        <tr r="E62" s="10"/>
        <tr r="E62" s="3"/>
        <tr r="E62" s="9"/>
        <tr r="E62" s="5"/>
      </tp>
      <tp>
        <v>1</v>
        <stp/>
        <stp>83bbe0c2-966f-4a90-b43a-3819626df36e</stp>
        <tr r="E94" s="10"/>
        <tr r="E94" s="4"/>
        <tr r="E94" s="8"/>
        <tr r="E94" s="5"/>
        <tr r="E94" s="9"/>
        <tr r="E94" s="3"/>
      </tp>
      <tp>
        <v>1</v>
        <stp/>
        <stp>028bad3a-9b07-4792-b1e0-c8817f9dff26</stp>
        <tr r="E15" s="3"/>
        <tr r="E15" s="9"/>
        <tr r="E15" s="10"/>
        <tr r="E15" s="4"/>
        <tr r="E15" s="5"/>
        <tr r="E15" s="8"/>
      </tp>
      <tp>
        <v>1</v>
        <stp/>
        <stp>5920d337-8e55-4ada-a5e3-b12bca8eaf5f</stp>
        <tr r="E18" s="9"/>
        <tr r="E18" s="3"/>
        <tr r="E18" s="4"/>
        <tr r="E18" s="5"/>
        <tr r="E18" s="10"/>
        <tr r="E18" s="8"/>
      </tp>
    </main>
    <main first="rtdsrv.166a02754216417ea584dd8fc2df95dd">
      <tp>
        <v>1</v>
        <stp/>
        <stp>3f5e7736-1147-4f2f-b878-f1b23ada4c1e</stp>
        <tr r="E27" s="5"/>
        <tr r="E27" s="4"/>
        <tr r="E27" s="3"/>
        <tr r="E27" s="9"/>
        <tr r="E27" s="10"/>
        <tr r="E27" s="8"/>
      </tp>
      <tp>
        <v>1</v>
        <stp/>
        <stp>a1b82b47-ae96-4f5a-b54d-1e3ba138e184</stp>
        <tr r="E95" s="9"/>
        <tr r="E95" s="5"/>
        <tr r="E96" s="3"/>
        <tr r="E96" s="10"/>
        <tr r="E95" s="4"/>
        <tr r="E96" s="9"/>
        <tr r="E96" s="8"/>
        <tr r="E96" s="4"/>
        <tr r="E95" s="3"/>
        <tr r="E95" s="8"/>
        <tr r="E95" s="10"/>
        <tr r="E96" s="5"/>
      </tp>
      <tp>
        <v>1</v>
        <stp/>
        <stp>79ea5e54-0686-4925-b189-39c3fb7de8e2</stp>
        <tr r="E49" s="4"/>
        <tr r="E49" s="3"/>
        <tr r="E49" s="10"/>
        <tr r="E49" s="5"/>
        <tr r="E49" s="9"/>
        <tr r="E49" s="8"/>
      </tp>
      <tp>
        <v>1</v>
        <stp/>
        <stp>04d16aa8-44d9-44e6-b8ac-7364c30955c8</stp>
        <tr r="E85" s="8"/>
        <tr r="E85" s="9"/>
        <tr r="E85" s="5"/>
        <tr r="E85" s="10"/>
        <tr r="E85" s="4"/>
        <tr r="E85" s="3"/>
      </tp>
      <tp>
        <v>1</v>
        <stp/>
        <stp>ac6006c2-ce99-48a5-ab38-c4a2feaaab62</stp>
        <tr r="E100" s="8"/>
        <tr r="E100" s="9"/>
        <tr r="E100" s="10"/>
        <tr r="E101" s="4"/>
        <tr r="E100" s="5"/>
        <tr r="E101" s="3"/>
      </tp>
      <tp>
        <v>1</v>
        <stp/>
        <stp>cd4e25b8-6a99-42d0-b574-3c617949a9af</stp>
        <tr r="E101" s="8"/>
        <tr r="E101" s="9"/>
        <tr r="E101" s="10"/>
        <tr r="E102" s="4"/>
        <tr r="E102" s="3"/>
        <tr r="E101" s="5"/>
      </tp>
      <tp>
        <v>1</v>
        <stp/>
        <stp>8de30d66-4b29-4adb-adb6-423cf5d4905b</stp>
        <tr r="E57" s="4"/>
        <tr r="E57" s="3"/>
        <tr r="E57" s="5"/>
        <tr r="E57" s="8"/>
        <tr r="E57" s="9"/>
        <tr r="E57" s="10"/>
      </tp>
      <tp>
        <v>1</v>
        <stp/>
        <stp>56455e4c-135f-4601-b331-6ba37bb0cd7c</stp>
        <tr r="E84" s="8"/>
        <tr r="E84" s="3"/>
        <tr r="E84" s="4"/>
        <tr r="E84" s="10"/>
        <tr r="E84" s="5"/>
        <tr r="E84" s="9"/>
      </tp>
    </main>
    <main first="rtdsrv.166a02754216417ea584dd8fc2df95dd">
      <tp>
        <v>1</v>
        <stp/>
        <stp>387114d7-703e-4c99-8aaa-827800996e59</stp>
        <tr r="E64" s="4"/>
        <tr r="E64" s="5"/>
        <tr r="E64" s="8"/>
        <tr r="E64" s="3"/>
        <tr r="E64" s="9"/>
        <tr r="E64" s="10"/>
      </tp>
    </main>
    <main first="rtdsrv.166a02754216417ea584dd8fc2df95dd">
      <tp>
        <v>1</v>
        <stp/>
        <stp>0ce294f1-b134-4ed4-97cd-21aef2b05e69</stp>
        <tr r="E26" s="10"/>
        <tr r="E26" s="3"/>
        <tr r="E26" s="9"/>
        <tr r="E26" s="5"/>
        <tr r="E26" s="4"/>
        <tr r="E26" s="8"/>
      </tp>
      <tp>
        <v>1</v>
        <stp/>
        <stp>e2d7565e-bef3-4d55-a320-be67252225d8</stp>
        <tr r="E63" s="8"/>
        <tr r="E63" s="10"/>
        <tr r="E63" s="4"/>
        <tr r="E63" s="5"/>
        <tr r="E63" s="9"/>
        <tr r="E63" s="3"/>
      </tp>
    </main>
    <main first="rtdsrv.166a02754216417ea584dd8fc2df95dd">
      <tp>
        <v>1</v>
        <stp/>
        <stp>09641a41-8564-43cd-9f07-ea43ff7eb6e8</stp>
        <tr r="E39" s="10"/>
        <tr r="E39" s="3"/>
        <tr r="E39" s="8"/>
        <tr r="E39" s="5"/>
        <tr r="E39" s="9"/>
        <tr r="E39" s="4"/>
      </tp>
      <tp>
        <v>1</v>
        <stp/>
        <stp>dc12c136-0078-45a6-b4d2-1fc644c3fd87</stp>
        <tr r="E42" s="9"/>
        <tr r="E42" s="8"/>
        <tr r="E42" s="4"/>
        <tr r="E42" s="5"/>
        <tr r="E42" s="10"/>
        <tr r="E42" s="3"/>
      </tp>
    </main>
    <main first="rtdsrv.166a02754216417ea584dd8fc2df95dd">
      <tp>
        <v>1</v>
        <stp/>
        <stp>3d6273cc-69c8-46e4-a5f2-134a7182a6a8</stp>
        <tr r="E104" s="8"/>
        <tr r="E104" s="9"/>
        <tr r="E105" s="3"/>
        <tr r="E104" s="10"/>
        <tr r="E105" s="4"/>
        <tr r="E104" s="5"/>
      </tp>
    </main>
    <main first="rtdsrv.166a02754216417ea584dd8fc2df95dd">
      <tp>
        <v>1</v>
        <stp/>
        <stp>6bfb8daa-0c29-46da-b5d1-339a35e012cd</stp>
        <tr r="E65" s="5"/>
        <tr r="E65" s="10"/>
        <tr r="E65" s="3"/>
        <tr r="E65" s="9"/>
        <tr r="E65" s="8"/>
        <tr r="E65" s="4"/>
      </tp>
      <tp>
        <v>1</v>
        <stp/>
        <stp>64062d6f-3530-4491-83b0-bb75ec50d989</stp>
        <tr r="E71" s="3"/>
        <tr r="E71" s="8"/>
        <tr r="E71" s="5"/>
        <tr r="E71" s="9"/>
        <tr r="E71" s="4"/>
        <tr r="E71" s="10"/>
      </tp>
      <tp>
        <v>1</v>
        <stp/>
        <stp>937a363d-10b9-4cc9-b9ea-33487a771250</stp>
        <tr r="E35" s="10"/>
        <tr r="E35" s="3"/>
        <tr r="E35" s="4"/>
        <tr r="E35" s="5"/>
        <tr r="E35" s="9"/>
        <tr r="E35" s="8"/>
      </tp>
      <tp>
        <v>1</v>
        <stp/>
        <stp>595102c6-4e3b-4a87-99ea-75ddeabd3166</stp>
        <tr r="E91" s="5"/>
        <tr r="E91" s="3"/>
        <tr r="E91" s="10"/>
        <tr r="E91" s="8"/>
        <tr r="E91" s="4"/>
        <tr r="E91" s="9"/>
      </tp>
    </main>
    <main first="rtdsrv.166a02754216417ea584dd8fc2df95dd">
      <tp>
        <v>1</v>
        <stp/>
        <stp>b9c24e88-4bec-44a3-97d3-e6b8dcbc0be9</stp>
        <tr r="E103" s="8"/>
        <tr r="E103" s="9"/>
        <tr r="E103" s="10"/>
        <tr r="E104" s="4"/>
        <tr r="E103" s="5"/>
        <tr r="E104" s="3"/>
      </tp>
    </main>
    <main first="rtdsrv.166a02754216417ea584dd8fc2df95dd">
      <tp>
        <v>1</v>
        <stp/>
        <stp>11ec7add-f425-4037-9abc-a1af9983bbae</stp>
        <tr r="E44" s="9"/>
        <tr r="E44" s="5"/>
        <tr r="E44" s="3"/>
        <tr r="E44" s="8"/>
        <tr r="E44" s="10"/>
        <tr r="E44" s="4"/>
      </tp>
      <tp>
        <v>1</v>
        <stp/>
        <stp>031436f1-deb5-4ab7-b4b6-4858fccf7d0e</stp>
        <tr r="E43" s="10"/>
        <tr r="E43" s="3"/>
        <tr r="E43" s="9"/>
        <tr r="E43" s="8"/>
        <tr r="E43" s="5"/>
        <tr r="E43" s="4"/>
      </tp>
      <tp>
        <v>1</v>
        <stp/>
        <stp>df960432-c10f-4d89-af37-a6b672de44ca</stp>
        <tr r="E73" s="10"/>
        <tr r="E73" s="8"/>
        <tr r="E73" s="5"/>
        <tr r="E73" s="9"/>
        <tr r="E73" s="3"/>
        <tr r="E73" s="4"/>
      </tp>
    </main>
    <main first="rtdsrv.166a02754216417ea584dd8fc2df95dd">
      <tp>
        <v>1</v>
        <stp/>
        <stp>1fbc8935-7c47-4af0-8f33-6aa9c4fe02d1</stp>
        <tr r="E34" s="9"/>
        <tr r="E34" s="10"/>
        <tr r="E34" s="4"/>
        <tr r="E34" s="3"/>
        <tr r="E34" s="5"/>
        <tr r="E34" s="8"/>
      </tp>
    </main>
    <main first="rtdsrv.166a02754216417ea584dd8fc2df95dd">
      <tp>
        <v>1</v>
        <stp/>
        <stp>ac7289a4-1af0-49a7-ac18-5eca85fbf1f4</stp>
        <tr r="E28" s="5"/>
        <tr r="E40" s="9"/>
        <tr r="E28" s="3"/>
        <tr r="E28" s="4"/>
        <tr r="E40" s="3"/>
        <tr r="E40" s="4"/>
        <tr r="E28" s="10"/>
        <tr r="E40" s="10"/>
        <tr r="E28" s="9"/>
        <tr r="E40" s="5"/>
        <tr r="E40" s="8"/>
        <tr r="E28" s="8"/>
      </tp>
    </main>
    <main first="rtdsrv.166a02754216417ea584dd8fc2df95dd">
      <tp>
        <v>1</v>
        <stp/>
        <stp>990ce0f2-1daf-4671-a803-37ee2bfcca42</stp>
        <tr r="E48" s="4"/>
        <tr r="E48" s="9"/>
        <tr r="E48" s="8"/>
        <tr r="E48" s="3"/>
        <tr r="E48" s="5"/>
        <tr r="E48" s="10"/>
      </tp>
    </main>
    <main first="rtdsrv.166a02754216417ea584dd8fc2df95dd">
      <tp>
        <v>1</v>
        <stp/>
        <stp>627c2afd-1d1b-4c58-8309-e34afabdd599</stp>
        <tr r="E98" s="3"/>
        <tr r="E98" s="5"/>
        <tr r="E97" s="10"/>
        <tr r="E98" s="4"/>
        <tr r="E97" s="4"/>
        <tr r="E98" s="10"/>
        <tr r="E98" s="8"/>
        <tr r="E97" s="3"/>
        <tr r="E97" s="9"/>
        <tr r="E97" s="5"/>
        <tr r="E97" s="8"/>
        <tr r="E98" s="9"/>
      </tp>
    </main>
    <main first="rtdsrv.166a02754216417ea584dd8fc2df95dd">
      <tp>
        <v>1</v>
        <stp/>
        <stp>9d932b1a-4467-4d5a-91ba-04efc900c249</stp>
        <tr r="E21" s="10"/>
        <tr r="E21" s="9"/>
        <tr r="E21" s="3"/>
        <tr r="E21" s="4"/>
        <tr r="E21" s="5"/>
        <tr r="E21" s="8"/>
      </tp>
      <tp>
        <v>1</v>
        <stp/>
        <stp>d81303a6-bc77-4f79-bb27-960dac0679c5</stp>
        <tr r="E45" s="8"/>
        <tr r="E45" s="9"/>
        <tr r="E45" s="10"/>
        <tr r="E45" s="3"/>
        <tr r="E45" s="4"/>
        <tr r="E45" s="5"/>
      </tp>
    </main>
    <main first="rtdsrv.166a02754216417ea584dd8fc2df95dd">
      <tp>
        <v>1</v>
        <stp/>
        <stp>744b4ae5-6d7f-4383-b087-822b61723d93</stp>
        <tr r="E14" s="4"/>
        <tr r="E14" s="5"/>
        <tr r="E14" s="10"/>
        <tr r="E14" s="3"/>
        <tr r="E14" s="9"/>
        <tr r="E14" s="8"/>
      </tp>
      <tp>
        <v>1</v>
        <stp/>
        <stp>438bfaf5-5a41-4571-9f3f-3f8800d72c6f</stp>
        <tr r="E38" s="3"/>
        <tr r="E38" s="5"/>
        <tr r="E38" s="4"/>
        <tr r="E38" s="10"/>
        <tr r="E38" s="9"/>
        <tr r="E38" s="8"/>
      </tp>
    </main>
    <main first="rtdsrv.166a02754216417ea584dd8fc2df95dd">
      <tp>
        <v>1</v>
        <stp/>
        <stp>70f10416-5b25-43dc-9dd6-cf367f3e9f61</stp>
        <tr r="E52" s="3"/>
        <tr r="E52" s="5"/>
        <tr r="E52" s="10"/>
        <tr r="E52" s="8"/>
        <tr r="E52" s="9"/>
        <tr r="E52" s="4"/>
      </tp>
      <tp>
        <v>1</v>
        <stp/>
        <stp>cd1c8cb1-e4b8-45e1-a287-99042f336d16</stp>
        <tr r="E102" s="9"/>
        <tr r="E102" s="10"/>
        <tr r="E103" s="3"/>
        <tr r="E102" s="5"/>
        <tr r="E103" s="4"/>
        <tr r="E102" s="8"/>
      </tp>
      <tp>
        <v>1</v>
        <stp/>
        <stp>f880ab96-ee74-43fb-ab8f-00a7ddb61aaa</stp>
        <tr r="E47" s="9"/>
        <tr r="E47" s="5"/>
        <tr r="E47" s="10"/>
        <tr r="E47" s="3"/>
        <tr r="E47" s="8"/>
        <tr r="E47" s="4"/>
      </tp>
    </main>
    <main first="rtdsrv.166a02754216417ea584dd8fc2df95dd">
      <tp>
        <v>1</v>
        <stp/>
        <stp>3ca9c5c7-e7e0-48df-82e5-67df802c4f14</stp>
        <tr r="E41" s="5"/>
        <tr r="E41" s="10"/>
        <tr r="E41" s="9"/>
        <tr r="E41" s="4"/>
        <tr r="E41" s="8"/>
        <tr r="E41" s="3"/>
      </tp>
    </main>
    <main first="rtdsrv.166a02754216417ea584dd8fc2df95dd">
      <tp>
        <v>1</v>
        <stp/>
        <stp>01303113-713c-4959-bc22-b9d4ccb48452</stp>
        <tr r="E30" s="4"/>
        <tr r="E30" s="3"/>
        <tr r="E30" s="10"/>
        <tr r="E30" s="5"/>
        <tr r="E30" s="9"/>
        <tr r="E30" s="8"/>
      </tp>
    </main>
    <main first="rtdsrv.166a02754216417ea584dd8fc2df95dd">
      <tp>
        <v>1</v>
        <stp/>
        <stp>7e9abcab-fa65-4134-a8e4-75684c883304</stp>
        <tr r="E36" s="5"/>
        <tr r="E36" s="3"/>
        <tr r="E36" s="9"/>
        <tr r="E36" s="10"/>
        <tr r="E36" s="4"/>
        <tr r="E36" s="8"/>
      </tp>
    </main>
    <main first="rtdsrv.166a02754216417ea584dd8fc2df95dd">
      <tp>
        <v>1</v>
        <stp/>
        <stp>95c4b29d-2be7-4736-a1f6-07afb2c6c489</stp>
        <tr r="E22" s="10"/>
        <tr r="E22" s="4"/>
        <tr r="E22" s="9"/>
        <tr r="E22" s="5"/>
        <tr r="E22" s="3"/>
        <tr r="E22" s="8"/>
      </tp>
    </main>
    <main first="rtdsrv.166a02754216417ea584dd8fc2df95dd">
      <tp>
        <v>1</v>
        <stp/>
        <stp>4519d9cc-dcad-4a38-a8a8-4fde5e940f3a</stp>
        <tr r="E66" s="3"/>
        <tr r="E66" s="5"/>
        <tr r="E66" s="10"/>
        <tr r="E66" s="4"/>
        <tr r="E66" s="9"/>
        <tr r="E66" s="8"/>
      </tp>
    </main>
    <main first="rtdsrv.166a02754216417ea584dd8fc2df95dd">
      <tp>
        <v>1</v>
        <stp/>
        <stp>9f97cab8-a75c-4613-83f9-01519b8d8503</stp>
        <tr r="E68" s="5"/>
        <tr r="E68" s="3"/>
        <tr r="E68" s="8"/>
        <tr r="E68" s="10"/>
        <tr r="E68" s="9"/>
        <tr r="E68" s="4"/>
      </tp>
      <tp>
        <v>1</v>
        <stp/>
        <stp>64421a47-b310-46c3-93a9-135a241fb46e</stp>
        <tr r="E23" s="4"/>
        <tr r="E23" s="10"/>
        <tr r="E23" s="9"/>
        <tr r="E23" s="3"/>
        <tr r="E23" s="5"/>
        <tr r="E23" s="8"/>
      </tp>
    </main>
    <main first="rtdsrv.166a02754216417ea584dd8fc2df95dd">
      <tp>
        <v>1</v>
        <stp/>
        <stp>ffec9319-a9a7-4872-9a52-4e30d621d623</stp>
        <tr r="E80" s="10"/>
        <tr r="E80" s="3"/>
        <tr r="E80" s="4"/>
        <tr r="E80" s="9"/>
        <tr r="E80" s="8"/>
        <tr r="E80" s="5"/>
      </tp>
    </main>
    <main first="rtdsrv.166a02754216417ea584dd8fc2df95dd">
      <tp>
        <v>1</v>
        <stp/>
        <stp>a6e9c856-071a-4053-8096-1bc4b52fc496</stp>
        <tr r="E20" s="10"/>
        <tr r="E20" s="9"/>
        <tr r="E20" s="3"/>
        <tr r="E20" s="5"/>
        <tr r="E20" s="4"/>
        <tr r="E20" s="8"/>
      </tp>
    </main>
    <main first="rtdsrv.166a02754216417ea584dd8fc2df95dd">
      <tp>
        <v>1</v>
        <stp/>
        <stp>f5828230-b21b-4cb1-8854-ff0b4fb4c941</stp>
        <tr r="E75" s="4"/>
        <tr r="E75" s="10"/>
        <tr r="E75" s="5"/>
        <tr r="E75" s="3"/>
        <tr r="E75" s="8"/>
        <tr r="E75" s="9"/>
      </tp>
      <tp>
        <v>1</v>
        <stp/>
        <stp>feb2ddb7-cfed-4cd3-9de1-430de84fafac</stp>
        <tr r="E83" s="3"/>
        <tr r="E83" s="5"/>
        <tr r="E83" s="4"/>
        <tr r="E83" s="9"/>
        <tr r="E83" s="8"/>
        <tr r="E83" s="10"/>
      </tp>
      <tp>
        <v>1</v>
        <stp/>
        <stp>c148ea09-a094-4792-a75a-88271572dbb7</stp>
        <tr r="E72" s="10"/>
        <tr r="E72" s="3"/>
        <tr r="E72" s="5"/>
        <tr r="E72" s="9"/>
        <tr r="E72" s="4"/>
        <tr r="E72" s="8"/>
      </tp>
    </main>
    <main first="rtdsrv.166a02754216417ea584dd8fc2df95dd">
      <tp>
        <v>1</v>
        <stp/>
        <stp>505c210a-aead-44ed-9104-d07dc82d2ee9</stp>
        <tr r="E76" s="5"/>
        <tr r="E76" s="10"/>
        <tr r="E76" s="8"/>
        <tr r="E76" s="9"/>
        <tr r="E76" s="4"/>
        <tr r="E76" s="3"/>
      </tp>
      <tp>
        <v>1</v>
        <stp/>
        <stp>08190924-6ee0-4c2e-b529-40ad012428ce</stp>
        <tr r="E88" s="4"/>
        <tr r="E88" s="8"/>
        <tr r="E88" s="9"/>
        <tr r="E88" s="10"/>
        <tr r="E88" s="5"/>
        <tr r="E88" s="3"/>
      </tp>
    </main>
    <main first="rtdsrv.166a02754216417ea584dd8fc2df95dd">
      <tp>
        <v>1</v>
        <stp/>
        <stp>b500fbb7-3068-4947-8f49-393ba6e3c252</stp>
        <tr r="E19" s="9"/>
        <tr r="E19" s="10"/>
        <tr r="E19" s="3"/>
        <tr r="E19" s="4"/>
        <tr r="E19" s="5"/>
        <tr r="E19" s="8"/>
      </tp>
    </main>
    <main first="rtdsrv.166a02754216417ea584dd8fc2df95dd">
      <tp>
        <v>1</v>
        <stp/>
        <stp>ac18c021-8a0d-4ba8-aa03-809a707d5978</stp>
        <tr r="E29" s="9"/>
        <tr r="E29" s="10"/>
        <tr r="E29" s="5"/>
        <tr r="E29" s="3"/>
        <tr r="E29" s="4"/>
        <tr r="E29" s="8"/>
      </tp>
    </main>
    <main first="rtdsrv.166a02754216417ea584dd8fc2df95dd">
      <tp>
        <v>1</v>
        <stp/>
        <stp>6365b204-6c4b-41d0-85f5-1e4bb9d06a9b</stp>
        <tr r="E55" s="10"/>
        <tr r="E55" s="4"/>
        <tr r="E55" s="9"/>
        <tr r="E55" s="3"/>
        <tr r="E55" s="8"/>
        <tr r="E55" s="5"/>
      </tp>
    </main>
    <main first="rtdsrv.166a02754216417ea584dd8fc2df95dd">
      <tp>
        <v>1</v>
        <stp/>
        <stp>0425aa43-e881-49a1-b443-94065d7a19cf</stp>
        <tr r="E61" s="9"/>
        <tr r="E61" s="8"/>
        <tr r="E61" s="4"/>
        <tr r="E61" s="10"/>
        <tr r="E61" s="3"/>
        <tr r="E61" s="5"/>
      </tp>
      <tp>
        <v>1</v>
        <stp/>
        <stp>30b236d4-6739-4699-9b8d-6c8eb713e94f</stp>
        <tr r="E17" s="3"/>
        <tr r="E17" s="5"/>
        <tr r="E17" s="10"/>
        <tr r="E17" s="9"/>
        <tr r="E17" s="4"/>
        <tr r="E17" s="8"/>
      </tp>
      <tp>
        <v>1</v>
        <stp/>
        <stp>9e05f792-f0bf-4359-8ac6-1d0ccce8b55a</stp>
        <tr r="E13" s="4"/>
        <tr r="E13" s="10"/>
        <tr r="E13" s="3"/>
        <tr r="E13" s="5"/>
        <tr r="E13" s="9"/>
        <tr r="E13" s="8"/>
      </tp>
      <tp>
        <v>1</v>
        <stp/>
        <stp>a77c7921-b50f-48d4-a8b4-d2ac1aa59456</stp>
        <tr r="E79" s="3"/>
        <tr r="E79" s="4"/>
        <tr r="E79" s="8"/>
        <tr r="E79" s="9"/>
        <tr r="E79" s="5"/>
        <tr r="E79" s="10"/>
      </tp>
      <tp>
        <v>1</v>
        <stp/>
        <stp>a8e87951-ebcc-4b2a-bc2a-39927a34e213</stp>
        <tr r="E67" s="4"/>
        <tr r="E67" s="5"/>
        <tr r="E67" s="9"/>
        <tr r="E67" s="3"/>
        <tr r="E67" s="8"/>
        <tr r="E67" s="10"/>
      </tp>
    </main>
    <main first="rtdsrv.166a02754216417ea584dd8fc2df95dd">
      <tp>
        <v>1</v>
        <stp/>
        <stp>f6c2e34a-cb95-40ca-8ad5-8ab658bbed36</stp>
        <tr r="E31" s="10"/>
        <tr r="E31" s="9"/>
        <tr r="E31" s="3"/>
        <tr r="E31" s="4"/>
        <tr r="E31" s="5"/>
        <tr r="E31" s="8"/>
      </tp>
    </main>
    <main first="rtdsrv.166a02754216417ea584dd8fc2df95dd">
      <tp>
        <v>1</v>
        <stp/>
        <stp>ee630cca-d920-497e-9e48-086e8420ea53</stp>
        <tr r="E58" s="9"/>
        <tr r="E58" s="3"/>
        <tr r="E58" s="5"/>
        <tr r="E58" s="8"/>
        <tr r="E58" s="4"/>
        <tr r="E58" s="10"/>
      </tp>
    </main>
    <main first="rtdsrv.166a02754216417ea584dd8fc2df95dd">
      <tp>
        <v>1</v>
        <stp/>
        <stp>6d17bc99-b5c7-44da-a5c4-164fe7e47969</stp>
        <tr r="E16" s="9"/>
        <tr r="E16" s="10"/>
        <tr r="E16" s="4"/>
        <tr r="E16" s="3"/>
        <tr r="E16" s="5"/>
        <tr r="E16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1'!$B$41:$B$48</c:f>
              <c:numCache>
                <c:formatCode>General</c:formatCode>
                <c:ptCount val="8"/>
                <c:pt idx="0">
                  <c:v>45.14</c:v>
                </c:pt>
                <c:pt idx="1">
                  <c:v>46.62</c:v>
                </c:pt>
                <c:pt idx="2">
                  <c:v>49.38</c:v>
                </c:pt>
                <c:pt idx="3">
                  <c:v>50.97</c:v>
                </c:pt>
                <c:pt idx="4">
                  <c:v>52.49</c:v>
                </c:pt>
                <c:pt idx="5">
                  <c:v>56.29</c:v>
                </c:pt>
                <c:pt idx="6">
                  <c:v>57.47</c:v>
                </c:pt>
                <c:pt idx="7">
                  <c:v>56.03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21-459F-B499-96FE42E11C46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21-459F-B499-96FE42E11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1'!$B$61:$B$65</c:f>
              <c:numCache>
                <c:formatCode>General</c:formatCode>
                <c:ptCount val="5"/>
                <c:pt idx="0">
                  <c:v>116.73</c:v>
                </c:pt>
                <c:pt idx="1">
                  <c:v>109.2</c:v>
                </c:pt>
                <c:pt idx="2">
                  <c:v>106.76</c:v>
                </c:pt>
                <c:pt idx="3">
                  <c:v>106.59</c:v>
                </c:pt>
                <c:pt idx="4">
                  <c:v>107.02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1-40BA-AA96-CBAB3826E222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1'!$E$61:$E$65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21-40BA-AA96-CBAB3826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 (v19.5)'!$B$41:$B$48</c:f>
              <c:numCache>
                <c:formatCode>General</c:formatCode>
                <c:ptCount val="8"/>
                <c:pt idx="0">
                  <c:v>45.14</c:v>
                </c:pt>
                <c:pt idx="1">
                  <c:v>46.62</c:v>
                </c:pt>
                <c:pt idx="2">
                  <c:v>49.38</c:v>
                </c:pt>
                <c:pt idx="3">
                  <c:v>50.97</c:v>
                </c:pt>
                <c:pt idx="4">
                  <c:v>52.49</c:v>
                </c:pt>
                <c:pt idx="5">
                  <c:v>56.29</c:v>
                </c:pt>
                <c:pt idx="6">
                  <c:v>57.47</c:v>
                </c:pt>
                <c:pt idx="7">
                  <c:v>56.03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6E-4D43-8F76-D63491EE1CFC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 (v19.5)'!$E$42:$E$48</c:f>
              <c:numCache>
                <c:formatCode>General</c:formatCode>
                <c:ptCount val="7"/>
                <c:pt idx="0">
                  <c:v>42.857454634455337</c:v>
                </c:pt>
                <c:pt idx="1">
                  <c:v>50.898921057707014</c:v>
                </c:pt>
                <c:pt idx="2">
                  <c:v>51.254026091185722</c:v>
                </c:pt>
                <c:pt idx="3">
                  <c:v>51.250125430823971</c:v>
                </c:pt>
                <c:pt idx="4">
                  <c:v>51.227499898205679</c:v>
                </c:pt>
                <c:pt idx="5">
                  <c:v>51.183418205592091</c:v>
                </c:pt>
                <c:pt idx="6">
                  <c:v>51.060844665328261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6E-4D43-8F76-D63491EE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1 (v19.5)'!$B$61:$B$65</c:f>
              <c:numCache>
                <c:formatCode>General</c:formatCode>
                <c:ptCount val="5"/>
                <c:pt idx="0">
                  <c:v>116.73</c:v>
                </c:pt>
                <c:pt idx="1">
                  <c:v>109.2</c:v>
                </c:pt>
                <c:pt idx="2">
                  <c:v>106.76</c:v>
                </c:pt>
                <c:pt idx="3">
                  <c:v>106.59</c:v>
                </c:pt>
                <c:pt idx="4">
                  <c:v>107.02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9-4AED-8EB6-6ECD35A09D19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1 (v19.5)'!$E$61:$E$65</c:f>
              <c:numCache>
                <c:formatCode>General</c:formatCode>
                <c:ptCount val="5"/>
                <c:pt idx="0">
                  <c:v>110.43461798374955</c:v>
                </c:pt>
                <c:pt idx="1">
                  <c:v>107.52152359815233</c:v>
                </c:pt>
                <c:pt idx="2">
                  <c:v>105.74950836590375</c:v>
                </c:pt>
                <c:pt idx="3">
                  <c:v>104.89105453898594</c:v>
                </c:pt>
                <c:pt idx="4">
                  <c:v>104.54081877660229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D9-4AED-8EB6-6ECD35A0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2'!$B$41:$B$48</c:f>
              <c:numCache>
                <c:formatCode>General</c:formatCode>
                <c:ptCount val="8"/>
                <c:pt idx="0">
                  <c:v>51.61</c:v>
                </c:pt>
                <c:pt idx="1">
                  <c:v>52.68</c:v>
                </c:pt>
                <c:pt idx="2">
                  <c:v>53.57</c:v>
                </c:pt>
                <c:pt idx="3">
                  <c:v>54.13</c:v>
                </c:pt>
                <c:pt idx="4">
                  <c:v>55.1</c:v>
                </c:pt>
                <c:pt idx="5">
                  <c:v>60.1</c:v>
                </c:pt>
                <c:pt idx="6">
                  <c:v>64.31</c:v>
                </c:pt>
                <c:pt idx="7">
                  <c:v>65.03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B7-4CAC-B47D-2D6859CBE004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2'!$E$42:$E$48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B7-4CAC-B47D-2D6859CBE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2'!$B$61:$B$65</c:f>
              <c:numCache>
                <c:formatCode>General</c:formatCode>
                <c:ptCount val="5"/>
                <c:pt idx="0">
                  <c:v>118.69</c:v>
                </c:pt>
                <c:pt idx="1">
                  <c:v>108.2</c:v>
                </c:pt>
                <c:pt idx="2">
                  <c:v>104.84</c:v>
                </c:pt>
                <c:pt idx="3">
                  <c:v>104.87</c:v>
                </c:pt>
                <c:pt idx="4">
                  <c:v>105.07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E-401E-81D0-B308CB30E3A2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2'!$E$61:$E$65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5E-401E-81D0-B308CB30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2 (v19.5)'!$B$41:$B$48</c:f>
              <c:numCache>
                <c:formatCode>General</c:formatCode>
                <c:ptCount val="8"/>
                <c:pt idx="0">
                  <c:v>51.61</c:v>
                </c:pt>
                <c:pt idx="1">
                  <c:v>52.68</c:v>
                </c:pt>
                <c:pt idx="2">
                  <c:v>53.57</c:v>
                </c:pt>
                <c:pt idx="3">
                  <c:v>54.13</c:v>
                </c:pt>
                <c:pt idx="4">
                  <c:v>55.1</c:v>
                </c:pt>
                <c:pt idx="5">
                  <c:v>60.1</c:v>
                </c:pt>
                <c:pt idx="6">
                  <c:v>64.31</c:v>
                </c:pt>
                <c:pt idx="7">
                  <c:v>65.03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BE-409E-B690-336441346EE6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2 (v19.5)'!$E$42:$E$48</c:f>
              <c:numCache>
                <c:formatCode>General</c:formatCode>
                <c:ptCount val="7"/>
                <c:pt idx="0">
                  <c:v>36.180429191050052</c:v>
                </c:pt>
                <c:pt idx="1">
                  <c:v>39.844703234249153</c:v>
                </c:pt>
                <c:pt idx="2">
                  <c:v>42.65279375373774</c:v>
                </c:pt>
                <c:pt idx="3">
                  <c:v>45.290017434215031</c:v>
                </c:pt>
                <c:pt idx="4">
                  <c:v>48.146831216103976</c:v>
                </c:pt>
                <c:pt idx="5">
                  <c:v>51.655360751805233</c:v>
                </c:pt>
                <c:pt idx="6">
                  <c:v>56.396113306866653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BE-409E-B690-33644134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8.1407001867797896E-2"/>
          <c:y val="0.18807708282603011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2 (v19.5)'!$B$61:$B$65</c:f>
              <c:numCache>
                <c:formatCode>General</c:formatCode>
                <c:ptCount val="5"/>
                <c:pt idx="0">
                  <c:v>118.69</c:v>
                </c:pt>
                <c:pt idx="1">
                  <c:v>108.2</c:v>
                </c:pt>
                <c:pt idx="2">
                  <c:v>104.84</c:v>
                </c:pt>
                <c:pt idx="3">
                  <c:v>104.87</c:v>
                </c:pt>
                <c:pt idx="4">
                  <c:v>105.07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C6-4D03-B3D4-0C60908B7637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2 (v19.5)'!$E$61:$E$65</c:f>
              <c:numCache>
                <c:formatCode>General</c:formatCode>
                <c:ptCount val="5"/>
                <c:pt idx="0">
                  <c:v>111.76610840071572</c:v>
                </c:pt>
                <c:pt idx="1">
                  <c:v>108.2396218405957</c:v>
                </c:pt>
                <c:pt idx="2">
                  <c:v>104.68260641529685</c:v>
                </c:pt>
                <c:pt idx="3">
                  <c:v>101.89747468381336</c:v>
                </c:pt>
                <c:pt idx="4">
                  <c:v>100.23372420782295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C6-4D03-B3D4-0C60908B7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3'!$B$41:$B$48</c:f>
              <c:numCache>
                <c:formatCode>General</c:formatCode>
                <c:ptCount val="8"/>
                <c:pt idx="0">
                  <c:v>47.91</c:v>
                </c:pt>
                <c:pt idx="1">
                  <c:v>48.73</c:v>
                </c:pt>
                <c:pt idx="2">
                  <c:v>48.67</c:v>
                </c:pt>
                <c:pt idx="3">
                  <c:v>48.61</c:v>
                </c:pt>
                <c:pt idx="4">
                  <c:v>48.67</c:v>
                </c:pt>
                <c:pt idx="5">
                  <c:v>50.85</c:v>
                </c:pt>
                <c:pt idx="6">
                  <c:v>56.46</c:v>
                </c:pt>
                <c:pt idx="7">
                  <c:v>58.9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1-47A1-ABE4-98C5372B4978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3'!$E$42:$E$48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1-47A1-ABE4-98C5372B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3'!$B$61:$B$65</c:f>
              <c:numCache>
                <c:formatCode>General</c:formatCode>
                <c:ptCount val="5"/>
                <c:pt idx="0">
                  <c:v>120.65</c:v>
                </c:pt>
                <c:pt idx="1">
                  <c:v>114.29</c:v>
                </c:pt>
                <c:pt idx="2">
                  <c:v>109.7</c:v>
                </c:pt>
                <c:pt idx="3">
                  <c:v>106.01</c:v>
                </c:pt>
                <c:pt idx="4">
                  <c:v>104.84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3-46E6-9626-7536C1477886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3'!$E$61:$E$65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3-46E6-9626-7536C1477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3 (v19.5)'!$B$41:$B$48</c:f>
              <c:numCache>
                <c:formatCode>General</c:formatCode>
                <c:ptCount val="8"/>
                <c:pt idx="0">
                  <c:v>47.91</c:v>
                </c:pt>
                <c:pt idx="1">
                  <c:v>48.73</c:v>
                </c:pt>
                <c:pt idx="2">
                  <c:v>48.67</c:v>
                </c:pt>
                <c:pt idx="3">
                  <c:v>48.61</c:v>
                </c:pt>
                <c:pt idx="4">
                  <c:v>48.67</c:v>
                </c:pt>
                <c:pt idx="5">
                  <c:v>50.85</c:v>
                </c:pt>
                <c:pt idx="6">
                  <c:v>56.46</c:v>
                </c:pt>
                <c:pt idx="7">
                  <c:v>58.9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BC-49E7-8644-A84FFC926903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3 (v19.5)'!$E$42:$E$48</c:f>
              <c:numCache>
                <c:formatCode>General</c:formatCode>
                <c:ptCount val="7"/>
                <c:pt idx="0">
                  <c:v>33.379692668646101</c:v>
                </c:pt>
                <c:pt idx="1">
                  <c:v>34.145114000460694</c:v>
                </c:pt>
                <c:pt idx="2">
                  <c:v>35.143119388096864</c:v>
                </c:pt>
                <c:pt idx="3">
                  <c:v>36.447386700658456</c:v>
                </c:pt>
                <c:pt idx="4">
                  <c:v>38.291267568742967</c:v>
                </c:pt>
                <c:pt idx="5">
                  <c:v>41.111043128031554</c:v>
                </c:pt>
                <c:pt idx="6">
                  <c:v>45.856550608696296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BC-49E7-8644-A84FFC92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3 (v19.5)'!$B$61:$B$65</c:f>
              <c:numCache>
                <c:formatCode>General</c:formatCode>
                <c:ptCount val="5"/>
                <c:pt idx="0">
                  <c:v>120.65</c:v>
                </c:pt>
                <c:pt idx="1">
                  <c:v>114.29</c:v>
                </c:pt>
                <c:pt idx="2">
                  <c:v>109.7</c:v>
                </c:pt>
                <c:pt idx="3">
                  <c:v>106.01</c:v>
                </c:pt>
                <c:pt idx="4">
                  <c:v>104.84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C0-4941-B452-49E95C4D9492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3 (v19.5)'!$E$61:$E$65</c:f>
              <c:numCache>
                <c:formatCode>General</c:formatCode>
                <c:ptCount val="5"/>
                <c:pt idx="0">
                  <c:v>114.74472168159889</c:v>
                </c:pt>
                <c:pt idx="1">
                  <c:v>112.98198993708019</c:v>
                </c:pt>
                <c:pt idx="2">
                  <c:v>110.49913114276882</c:v>
                </c:pt>
                <c:pt idx="3">
                  <c:v>107.46706137524558</c:v>
                </c:pt>
                <c:pt idx="4">
                  <c:v>103.80873716639081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C0-4941-B452-49E95C4D9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layout>
        <c:manualLayout>
          <c:xMode val="edge"/>
          <c:yMode val="edge"/>
          <c:x val="0.29688454008752235"/>
          <c:y val="3.2093978678623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5'!$B$41:$B$48</c:f>
              <c:numCache>
                <c:formatCode>General</c:formatCode>
                <c:ptCount val="8"/>
                <c:pt idx="0">
                  <c:v>45.55</c:v>
                </c:pt>
                <c:pt idx="1">
                  <c:v>47.05</c:v>
                </c:pt>
                <c:pt idx="2">
                  <c:v>50.02</c:v>
                </c:pt>
                <c:pt idx="3">
                  <c:v>51.8</c:v>
                </c:pt>
                <c:pt idx="4">
                  <c:v>53.27</c:v>
                </c:pt>
                <c:pt idx="5">
                  <c:v>57.25</c:v>
                </c:pt>
                <c:pt idx="6">
                  <c:v>58.54</c:v>
                </c:pt>
                <c:pt idx="7">
                  <c:v>58.36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6-4050-8D41-7CF83248FB6C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5'!$E$42:$E$48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06-4050-8D41-7CF83248F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layout>
        <c:manualLayout>
          <c:xMode val="edge"/>
          <c:yMode val="edge"/>
          <c:x val="0.29688454008752235"/>
          <c:y val="3.20939786786233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5 (v19.5)'!$B$41:$B$48</c:f>
              <c:numCache>
                <c:formatCode>General</c:formatCode>
                <c:ptCount val="8"/>
                <c:pt idx="0">
                  <c:v>45.55</c:v>
                </c:pt>
                <c:pt idx="1">
                  <c:v>47.05</c:v>
                </c:pt>
                <c:pt idx="2">
                  <c:v>50.02</c:v>
                </c:pt>
                <c:pt idx="3">
                  <c:v>51.8</c:v>
                </c:pt>
                <c:pt idx="4">
                  <c:v>53.27</c:v>
                </c:pt>
                <c:pt idx="5">
                  <c:v>57.25</c:v>
                </c:pt>
                <c:pt idx="6">
                  <c:v>58.54</c:v>
                </c:pt>
                <c:pt idx="7">
                  <c:v>58.36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31-44A6-9487-01BA8C230589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5 (v19.5)'!$E$42:$E$48</c:f>
              <c:numCache>
                <c:formatCode>General</c:formatCode>
                <c:ptCount val="7"/>
                <c:pt idx="0">
                  <c:v>45.402009994283105</c:v>
                </c:pt>
                <c:pt idx="1">
                  <c:v>52.598479667072468</c:v>
                </c:pt>
                <c:pt idx="2">
                  <c:v>52.748094812721774</c:v>
                </c:pt>
                <c:pt idx="3">
                  <c:v>52.723800706032705</c:v>
                </c:pt>
                <c:pt idx="4">
                  <c:v>52.697841552429111</c:v>
                </c:pt>
                <c:pt idx="5">
                  <c:v>52.667982149581633</c:v>
                </c:pt>
                <c:pt idx="6">
                  <c:v>52.622975334931368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31-44A6-9487-01BA8C230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5 (v19.5)'!$B$61:$B$65</c:f>
              <c:numCache>
                <c:formatCode>General</c:formatCode>
                <c:ptCount val="5"/>
                <c:pt idx="0">
                  <c:v>118.29</c:v>
                </c:pt>
                <c:pt idx="1">
                  <c:v>111.21</c:v>
                </c:pt>
                <c:pt idx="2">
                  <c:v>109.76</c:v>
                </c:pt>
                <c:pt idx="3">
                  <c:v>109.46</c:v>
                </c:pt>
                <c:pt idx="4">
                  <c:v>109.2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08-40A7-86D3-FFAEBC06C9FB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5 (v19.5)'!$E$61:$E$65</c:f>
              <c:numCache>
                <c:formatCode>General</c:formatCode>
                <c:ptCount val="5"/>
                <c:pt idx="0">
                  <c:v>111.98732733209289</c:v>
                </c:pt>
                <c:pt idx="1">
                  <c:v>109.87426264264985</c:v>
                </c:pt>
                <c:pt idx="2">
                  <c:v>108.31349502106912</c:v>
                </c:pt>
                <c:pt idx="3">
                  <c:v>107.25326456768124</c:v>
                </c:pt>
                <c:pt idx="4">
                  <c:v>106.57868268632393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08-40A7-86D3-FFAEBC06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6'!$B$41:$B$48</c:f>
              <c:numCache>
                <c:formatCode>General</c:formatCode>
                <c:ptCount val="8"/>
                <c:pt idx="0">
                  <c:v>35.78</c:v>
                </c:pt>
                <c:pt idx="1">
                  <c:v>36.56</c:v>
                </c:pt>
                <c:pt idx="2">
                  <c:v>37.270000000000003</c:v>
                </c:pt>
                <c:pt idx="3">
                  <c:v>37.96</c:v>
                </c:pt>
                <c:pt idx="4">
                  <c:v>38.75</c:v>
                </c:pt>
                <c:pt idx="5">
                  <c:v>42.86</c:v>
                </c:pt>
                <c:pt idx="6">
                  <c:v>48.13</c:v>
                </c:pt>
                <c:pt idx="7">
                  <c:v>49.21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70-4787-9C38-A526CE72EA64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6'!$E$42:$E$48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70-4787-9C38-A526CE72E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6 (v19.5)'!$B$41:$B$48</c:f>
              <c:numCache>
                <c:formatCode>General</c:formatCode>
                <c:ptCount val="8"/>
                <c:pt idx="0">
                  <c:v>35.78</c:v>
                </c:pt>
                <c:pt idx="1">
                  <c:v>36.56</c:v>
                </c:pt>
                <c:pt idx="2">
                  <c:v>37.270000000000003</c:v>
                </c:pt>
                <c:pt idx="3">
                  <c:v>37.96</c:v>
                </c:pt>
                <c:pt idx="4">
                  <c:v>38.75</c:v>
                </c:pt>
                <c:pt idx="5">
                  <c:v>42.86</c:v>
                </c:pt>
                <c:pt idx="6">
                  <c:v>48.13</c:v>
                </c:pt>
                <c:pt idx="7">
                  <c:v>49.21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DB-4D90-AEAF-BEBA7C979B3D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6 (v19.5)'!$E$42:$E$48</c:f>
              <c:numCache>
                <c:formatCode>General</c:formatCode>
                <c:ptCount val="7"/>
                <c:pt idx="0">
                  <c:v>30.151080959077319</c:v>
                </c:pt>
                <c:pt idx="1">
                  <c:v>33.13787721454861</c:v>
                </c:pt>
                <c:pt idx="2">
                  <c:v>35.491915264970487</c:v>
                </c:pt>
                <c:pt idx="3">
                  <c:v>37.648258251831464</c:v>
                </c:pt>
                <c:pt idx="4">
                  <c:v>39.921305400514143</c:v>
                </c:pt>
                <c:pt idx="5">
                  <c:v>42.676905808408208</c:v>
                </c:pt>
                <c:pt idx="6">
                  <c:v>46.309804933259329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DB-4D90-AEAF-BEBA7C979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6 (v19.5)'!$B$61:$B$65</c:f>
              <c:numCache>
                <c:formatCode>General</c:formatCode>
                <c:ptCount val="5"/>
                <c:pt idx="0">
                  <c:v>111.46</c:v>
                </c:pt>
                <c:pt idx="1">
                  <c:v>98.98</c:v>
                </c:pt>
                <c:pt idx="2">
                  <c:v>99.03</c:v>
                </c:pt>
                <c:pt idx="3">
                  <c:v>99.37</c:v>
                </c:pt>
                <c:pt idx="4">
                  <c:v>99.56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21-4A26-B683-BD32F187F7B3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6 (v19.5)'!$E$61:$E$65</c:f>
              <c:numCache>
                <c:formatCode>General</c:formatCode>
                <c:ptCount val="5"/>
                <c:pt idx="0">
                  <c:v>98.707125382286847</c:v>
                </c:pt>
                <c:pt idx="1">
                  <c:v>95.296895740370871</c:v>
                </c:pt>
                <c:pt idx="2">
                  <c:v>94.643682133026743</c:v>
                </c:pt>
                <c:pt idx="3">
                  <c:v>94.538434993610679</c:v>
                </c:pt>
                <c:pt idx="4">
                  <c:v>94.524820577730736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21-4A26-B683-BD32F187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7'!$B$41:$B$48</c:f>
              <c:numCache>
                <c:formatCode>General</c:formatCode>
                <c:ptCount val="8"/>
                <c:pt idx="0">
                  <c:v>39.159999999999997</c:v>
                </c:pt>
                <c:pt idx="1">
                  <c:v>40.79</c:v>
                </c:pt>
                <c:pt idx="2">
                  <c:v>43.82</c:v>
                </c:pt>
                <c:pt idx="3">
                  <c:v>45.76</c:v>
                </c:pt>
                <c:pt idx="4">
                  <c:v>47.36</c:v>
                </c:pt>
                <c:pt idx="5">
                  <c:v>52.69</c:v>
                </c:pt>
                <c:pt idx="6">
                  <c:v>55.6</c:v>
                </c:pt>
                <c:pt idx="7">
                  <c:v>54.88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0-4B7D-8DA9-709EC272DA17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7'!$E$42:$E$48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0-4B7D-8DA9-709EC272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Absorber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7 (v19.5)'!$B$41:$B$48</c:f>
              <c:numCache>
                <c:formatCode>General</c:formatCode>
                <c:ptCount val="8"/>
                <c:pt idx="0">
                  <c:v>39.159999999999997</c:v>
                </c:pt>
                <c:pt idx="1">
                  <c:v>40.79</c:v>
                </c:pt>
                <c:pt idx="2">
                  <c:v>43.82</c:v>
                </c:pt>
                <c:pt idx="3">
                  <c:v>45.76</c:v>
                </c:pt>
                <c:pt idx="4">
                  <c:v>47.36</c:v>
                </c:pt>
                <c:pt idx="5">
                  <c:v>52.69</c:v>
                </c:pt>
                <c:pt idx="6">
                  <c:v>55.6</c:v>
                </c:pt>
                <c:pt idx="7">
                  <c:v>54.88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C8-4878-AF6F-15EED0C85BC3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7 (v19.5)'!$E$42:$E$48</c:f>
              <c:numCache>
                <c:formatCode>General</c:formatCode>
                <c:ptCount val="7"/>
                <c:pt idx="0">
                  <c:v>35.889482762990951</c:v>
                </c:pt>
                <c:pt idx="1">
                  <c:v>43.406355374555176</c:v>
                </c:pt>
                <c:pt idx="2">
                  <c:v>48.993843483749117</c:v>
                </c:pt>
                <c:pt idx="3">
                  <c:v>54.214049098595808</c:v>
                </c:pt>
                <c:pt idx="4">
                  <c:v>58.142799771664329</c:v>
                </c:pt>
                <c:pt idx="5">
                  <c:v>59.211532871890199</c:v>
                </c:pt>
                <c:pt idx="6">
                  <c:v>59.200287970896568</c:v>
                </c:pt>
              </c:numCache>
            </c:numRef>
          </c:xVal>
          <c:yVal>
            <c:numRef>
              <c:f>'Appendix A'!$N$2:$N$8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C8-4878-AF6F-15EED0C8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84631642557165"/>
          <c:y val="0.18218821837543253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Temperatur</a:t>
            </a:r>
            <a:r>
              <a:rPr lang="nb-NO" baseline="0"/>
              <a:t> i Desorber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1281714785651793"/>
          <c:y val="0.17378178468299524"/>
          <c:w val="0.83652727606685862"/>
          <c:h val="0.62285601076979791"/>
        </c:manualLayout>
      </c:layout>
      <c:scatterChart>
        <c:scatterStyle val="smoothMarker"/>
        <c:varyColors val="0"/>
        <c:ser>
          <c:idx val="1"/>
          <c:order val="0"/>
          <c:tx>
            <c:v>Enaasen flø et al.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'SS case 7 (v19.5)'!$B$61:$B$65</c:f>
              <c:numCache>
                <c:formatCode>General</c:formatCode>
                <c:ptCount val="5"/>
                <c:pt idx="0">
                  <c:v>113.24</c:v>
                </c:pt>
                <c:pt idx="1">
                  <c:v>101.82</c:v>
                </c:pt>
                <c:pt idx="2">
                  <c:v>101.69</c:v>
                </c:pt>
                <c:pt idx="3">
                  <c:v>101.99</c:v>
                </c:pt>
                <c:pt idx="4">
                  <c:v>102.18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1-4293-9D5F-749F4BA2DF6C}"/>
            </c:ext>
          </c:extLst>
        </c:ser>
        <c:ser>
          <c:idx val="2"/>
          <c:order val="1"/>
          <c:tx>
            <c:v>K-Spice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'SS case 7 (v19.5)'!$E$61:$E$65</c:f>
              <c:numCache>
                <c:formatCode>General</c:formatCode>
                <c:ptCount val="5"/>
                <c:pt idx="0">
                  <c:v>101.74053752693146</c:v>
                </c:pt>
                <c:pt idx="1">
                  <c:v>98.387182682445143</c:v>
                </c:pt>
                <c:pt idx="2">
                  <c:v>97.264337832407705</c:v>
                </c:pt>
                <c:pt idx="3">
                  <c:v>96.959069947906698</c:v>
                </c:pt>
                <c:pt idx="4">
                  <c:v>96.886003620933366</c:v>
                </c:pt>
              </c:numCache>
            </c:numRef>
          </c:xVal>
          <c:yVal>
            <c:numRef>
              <c:f>'Appendix A'!$P$2:$P$6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81-4293-9D5F-749F4BA2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37839"/>
        <c:axId val="33838799"/>
      </c:scatterChart>
      <c:valAx>
        <c:axId val="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Temperatur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8799"/>
        <c:crosses val="autoZero"/>
        <c:crossBetween val="midCat"/>
      </c:valAx>
      <c:valAx>
        <c:axId val="338387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Høyde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83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86644950654114"/>
          <c:y val="0.18218824602897915"/>
          <c:w val="0.29173094124867655"/>
          <c:h val="0.16128568579567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317358</xdr:colOff>
      <xdr:row>38</xdr:row>
      <xdr:rowOff>123539</xdr:rowOff>
    </xdr:from>
    <xdr:to>
      <xdr:col>14</xdr:col>
      <xdr:colOff>544516</xdr:colOff>
      <xdr:row>53</xdr:row>
      <xdr:rowOff>94913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419FFD1-B4A2-8D14-38C2-1ADAAF179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27709</xdr:colOff>
      <xdr:row>57</xdr:row>
      <xdr:rowOff>152400</xdr:rowOff>
    </xdr:from>
    <xdr:to>
      <xdr:col>15</xdr:col>
      <xdr:colOff>254866</xdr:colOff>
      <xdr:row>72</xdr:row>
      <xdr:rowOff>114095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109D081-F726-4A76-87E2-CFA069DBA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2984358</xdr:colOff>
      <xdr:row>33</xdr:row>
      <xdr:rowOff>36948</xdr:rowOff>
    </xdr:from>
    <xdr:to>
      <xdr:col>12</xdr:col>
      <xdr:colOff>146198</xdr:colOff>
      <xdr:row>48</xdr:row>
      <xdr:rowOff>8322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5F4B412-B9D1-4503-81A4-70F26E28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2996044</xdr:colOff>
      <xdr:row>60</xdr:row>
      <xdr:rowOff>51954</xdr:rowOff>
    </xdr:from>
    <xdr:to>
      <xdr:col>12</xdr:col>
      <xdr:colOff>157883</xdr:colOff>
      <xdr:row>75</xdr:row>
      <xdr:rowOff>7048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CAFCD22A-6CC2-4864-B576-A8259AED9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275705</xdr:colOff>
      <xdr:row>41</xdr:row>
      <xdr:rowOff>40525</xdr:rowOff>
    </xdr:from>
    <xdr:to>
      <xdr:col>15</xdr:col>
      <xdr:colOff>46701</xdr:colOff>
      <xdr:row>56</xdr:row>
      <xdr:rowOff>41340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AD2238D-97CF-40FD-918F-43701F7A8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540327</xdr:colOff>
      <xdr:row>57</xdr:row>
      <xdr:rowOff>138546</xdr:rowOff>
    </xdr:from>
    <xdr:to>
      <xdr:col>15</xdr:col>
      <xdr:colOff>157884</xdr:colOff>
      <xdr:row>72</xdr:row>
      <xdr:rowOff>100241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211C4DE-AAD1-4DE6-A831-6909C80AB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275705</xdr:colOff>
      <xdr:row>41</xdr:row>
      <xdr:rowOff>40525</xdr:rowOff>
    </xdr:from>
    <xdr:to>
      <xdr:col>15</xdr:col>
      <xdr:colOff>46701</xdr:colOff>
      <xdr:row>56</xdr:row>
      <xdr:rowOff>41340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186EEF4-05BC-4FCD-8EA5-DDC3B93DD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443345</xdr:colOff>
      <xdr:row>61</xdr:row>
      <xdr:rowOff>55418</xdr:rowOff>
    </xdr:from>
    <xdr:to>
      <xdr:col>15</xdr:col>
      <xdr:colOff>25446</xdr:colOff>
      <xdr:row>76</xdr:row>
      <xdr:rowOff>19019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1255914-FA8E-4380-9F55-D50F333D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168274</xdr:colOff>
      <xdr:row>34</xdr:row>
      <xdr:rowOff>153988</xdr:rowOff>
    </xdr:from>
    <xdr:to>
      <xdr:col>15</xdr:col>
      <xdr:colOff>17751</xdr:colOff>
      <xdr:row>50</xdr:row>
      <xdr:rowOff>53203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E7AB0DB-5BF2-412C-9A12-24EFA2A89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163286</xdr:colOff>
      <xdr:row>56</xdr:row>
      <xdr:rowOff>97971</xdr:rowOff>
    </xdr:from>
    <xdr:to>
      <xdr:col>14</xdr:col>
      <xdr:colOff>390443</xdr:colOff>
      <xdr:row>71</xdr:row>
      <xdr:rowOff>87046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2FA21B4-2DA5-4B16-B3DB-8A7B0C3DA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168274</xdr:colOff>
      <xdr:row>34</xdr:row>
      <xdr:rowOff>153988</xdr:rowOff>
    </xdr:from>
    <xdr:to>
      <xdr:col>15</xdr:col>
      <xdr:colOff>17751</xdr:colOff>
      <xdr:row>50</xdr:row>
      <xdr:rowOff>53203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CE45382-54FA-4869-AD61-6EDD6CDC8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269875</xdr:colOff>
      <xdr:row>56</xdr:row>
      <xdr:rowOff>63500</xdr:rowOff>
    </xdr:from>
    <xdr:to>
      <xdr:col>14</xdr:col>
      <xdr:colOff>505997</xdr:colOff>
      <xdr:row>71</xdr:row>
      <xdr:rowOff>55070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E649753-B9EB-4D5B-B0AA-63A6D50ED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374073</xdr:colOff>
      <xdr:row>35</xdr:row>
      <xdr:rowOff>107374</xdr:rowOff>
    </xdr:from>
    <xdr:to>
      <xdr:col>15</xdr:col>
      <xdr:colOff>138835</xdr:colOff>
      <xdr:row>50</xdr:row>
      <xdr:rowOff>149750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BB2A261-FDB9-45A2-A3EC-8A56B731F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374073</xdr:colOff>
      <xdr:row>35</xdr:row>
      <xdr:rowOff>107374</xdr:rowOff>
    </xdr:from>
    <xdr:to>
      <xdr:col>15</xdr:col>
      <xdr:colOff>138835</xdr:colOff>
      <xdr:row>50</xdr:row>
      <xdr:rowOff>149750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348C732-DCDE-4156-A8E0-C96000F03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15</xdr:col>
      <xdr:colOff>222268</xdr:colOff>
      <xdr:row>70</xdr:row>
      <xdr:rowOff>141805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66580AE-7CFE-4A8B-AF25-B2DCECFDF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40</xdr:row>
      <xdr:rowOff>0</xdr:rowOff>
    </xdr:from>
    <xdr:to>
      <xdr:col>16</xdr:col>
      <xdr:colOff>406675</xdr:colOff>
      <xdr:row>54</xdr:row>
      <xdr:rowOff>144453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B01F7A2-005F-4F6C-9124-CE5129CD6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40</xdr:row>
      <xdr:rowOff>0</xdr:rowOff>
    </xdr:from>
    <xdr:to>
      <xdr:col>16</xdr:col>
      <xdr:colOff>406675</xdr:colOff>
      <xdr:row>54</xdr:row>
      <xdr:rowOff>144453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2A98402-964F-48AC-8CA4-B91F0CEB6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60</xdr:row>
      <xdr:rowOff>0</xdr:rowOff>
    </xdr:from>
    <xdr:to>
      <xdr:col>16</xdr:col>
      <xdr:colOff>257894</xdr:colOff>
      <xdr:row>74</xdr:row>
      <xdr:rowOff>72532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DC44603-2A3A-4274-AA06-B2A650E3F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244930</xdr:colOff>
      <xdr:row>37</xdr:row>
      <xdr:rowOff>129269</xdr:rowOff>
    </xdr:from>
    <xdr:to>
      <xdr:col>15</xdr:col>
      <xdr:colOff>18872</xdr:colOff>
      <xdr:row>52</xdr:row>
      <xdr:rowOff>90025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5851D76-E416-4D4D-BE00-E24C3C0DC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492713</xdr:colOff>
      <xdr:row>38</xdr:row>
      <xdr:rowOff>120694</xdr:rowOff>
    </xdr:from>
    <xdr:to>
      <xdr:col>15</xdr:col>
      <xdr:colOff>262302</xdr:colOff>
      <xdr:row>53</xdr:row>
      <xdr:rowOff>81995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5D646C3-9E57-41D8-842F-4C0698DDF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15</xdr:col>
      <xdr:colOff>257893</xdr:colOff>
      <xdr:row>74</xdr:row>
      <xdr:rowOff>72532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197BF7E-8A39-481F-8B84-D6B9C003F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EA7C-F533-494C-A33C-AB82FEEEBA31}">
  <dimension ref="A1:T52"/>
  <sheetViews>
    <sheetView zoomScale="85" zoomScaleNormal="85" workbookViewId="0">
      <selection activeCell="S13" sqref="S13"/>
    </sheetView>
  </sheetViews>
  <sheetFormatPr baseColWidth="10" defaultRowHeight="14.4" x14ac:dyDescent="0.3"/>
  <sheetData>
    <row r="1" spans="1:20" x14ac:dyDescent="0.3">
      <c r="A1" t="s">
        <v>202</v>
      </c>
      <c r="B1" t="s">
        <v>203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N1" t="s">
        <v>239</v>
      </c>
      <c r="P1" t="s">
        <v>242</v>
      </c>
      <c r="R1" s="11" t="s">
        <v>263</v>
      </c>
      <c r="S1" s="11" t="s">
        <v>264</v>
      </c>
      <c r="T1" s="11" t="s">
        <v>267</v>
      </c>
    </row>
    <row r="2" spans="1:20" x14ac:dyDescent="0.3">
      <c r="A2" t="s">
        <v>56</v>
      </c>
      <c r="B2" t="s">
        <v>93</v>
      </c>
      <c r="C2" s="9">
        <v>3.52</v>
      </c>
      <c r="D2" s="9">
        <v>6.77</v>
      </c>
      <c r="E2" s="9">
        <v>7.41</v>
      </c>
      <c r="F2" s="9">
        <v>3.57</v>
      </c>
      <c r="G2" s="9">
        <v>3.9</v>
      </c>
      <c r="H2" s="9">
        <v>5.41</v>
      </c>
      <c r="I2">
        <v>4.57</v>
      </c>
      <c r="J2">
        <v>1.55</v>
      </c>
      <c r="N2">
        <v>1</v>
      </c>
      <c r="P2">
        <v>0</v>
      </c>
      <c r="R2" s="11">
        <v>1</v>
      </c>
      <c r="S2" s="11">
        <v>5.3414387709970743</v>
      </c>
      <c r="T2" s="11">
        <v>9.8841281165009427</v>
      </c>
    </row>
    <row r="3" spans="1:20" x14ac:dyDescent="0.3">
      <c r="A3" t="s">
        <v>57</v>
      </c>
      <c r="B3" t="s">
        <v>93</v>
      </c>
      <c r="C3" s="9">
        <v>0.28999999999999998</v>
      </c>
      <c r="D3" s="9">
        <v>1.19</v>
      </c>
      <c r="E3" s="9">
        <v>3.05</v>
      </c>
      <c r="F3" s="9">
        <v>0</v>
      </c>
      <c r="G3" s="9">
        <v>0.44</v>
      </c>
      <c r="H3" s="9">
        <v>3.09</v>
      </c>
      <c r="I3">
        <v>1.38</v>
      </c>
      <c r="J3">
        <v>0</v>
      </c>
      <c r="N3">
        <v>2</v>
      </c>
      <c r="P3">
        <v>1</v>
      </c>
      <c r="R3" s="11">
        <v>2</v>
      </c>
      <c r="S3" s="11">
        <v>9.0133988644822587</v>
      </c>
      <c r="T3" s="11">
        <v>8.2608676001108829</v>
      </c>
    </row>
    <row r="4" spans="1:20" x14ac:dyDescent="0.3">
      <c r="A4" t="s">
        <v>58</v>
      </c>
      <c r="B4" t="s">
        <v>33</v>
      </c>
      <c r="C4" s="9">
        <v>166.93</v>
      </c>
      <c r="D4" s="9">
        <v>172.33</v>
      </c>
      <c r="E4" s="9">
        <v>152.07</v>
      </c>
      <c r="F4" s="9">
        <v>142.13</v>
      </c>
      <c r="G4" s="9">
        <v>240.87</v>
      </c>
      <c r="H4" s="9">
        <v>178.72</v>
      </c>
      <c r="I4">
        <v>238.82</v>
      </c>
      <c r="J4">
        <v>239.09</v>
      </c>
      <c r="N4">
        <v>3</v>
      </c>
      <c r="P4">
        <v>2</v>
      </c>
      <c r="R4" s="11">
        <v>3</v>
      </c>
      <c r="S4" s="11">
        <v>9.1575025088828745</v>
      </c>
      <c r="T4" s="11">
        <v>5.0984884484374939</v>
      </c>
    </row>
    <row r="5" spans="1:20" x14ac:dyDescent="0.3">
      <c r="A5" t="s">
        <v>59</v>
      </c>
      <c r="B5" t="s">
        <v>33</v>
      </c>
      <c r="C5" s="9">
        <v>171.04</v>
      </c>
      <c r="D5" s="9">
        <v>179.79</v>
      </c>
      <c r="E5" s="9">
        <v>156.94999999999999</v>
      </c>
      <c r="F5" s="9">
        <v>146.43</v>
      </c>
      <c r="G5" s="9">
        <v>246.13</v>
      </c>
      <c r="H5" s="9">
        <v>180.31</v>
      </c>
      <c r="I5">
        <v>241.74</v>
      </c>
      <c r="J5">
        <v>240.34</v>
      </c>
      <c r="N5">
        <v>4</v>
      </c>
      <c r="P5">
        <v>3</v>
      </c>
      <c r="R5" s="11">
        <v>5</v>
      </c>
      <c r="S5" s="11">
        <v>5.6683995700951195</v>
      </c>
      <c r="T5" s="11">
        <v>7.2986774800425769</v>
      </c>
    </row>
    <row r="6" spans="1:20" x14ac:dyDescent="0.3">
      <c r="A6" t="s">
        <v>11</v>
      </c>
      <c r="B6" t="s">
        <v>204</v>
      </c>
      <c r="C6" s="9">
        <v>89.77</v>
      </c>
      <c r="D6" s="9">
        <v>90.09</v>
      </c>
      <c r="E6" s="9">
        <v>127.02</v>
      </c>
      <c r="F6" s="9">
        <v>100.1</v>
      </c>
      <c r="G6" s="9">
        <v>125.94</v>
      </c>
      <c r="H6" s="9">
        <v>118.96</v>
      </c>
      <c r="I6">
        <v>118.87</v>
      </c>
      <c r="J6">
        <v>118.57</v>
      </c>
      <c r="N6">
        <v>5</v>
      </c>
      <c r="P6">
        <v>4</v>
      </c>
      <c r="R6" s="11">
        <v>6</v>
      </c>
      <c r="S6" s="11">
        <v>8.1796377536070946</v>
      </c>
      <c r="T6" s="11">
        <v>15.201888794725848</v>
      </c>
    </row>
    <row r="7" spans="1:20" x14ac:dyDescent="0.3">
      <c r="A7" t="s">
        <v>60</v>
      </c>
      <c r="B7" t="s">
        <v>33</v>
      </c>
      <c r="C7" s="9">
        <v>2.91</v>
      </c>
      <c r="D7" s="9">
        <v>4.16</v>
      </c>
      <c r="E7" s="9">
        <v>4.5999999999999996</v>
      </c>
      <c r="F7" s="9">
        <v>3.93</v>
      </c>
      <c r="G7" s="9">
        <v>5.56</v>
      </c>
      <c r="H7" s="9">
        <v>2.11</v>
      </c>
      <c r="I7">
        <v>3.49</v>
      </c>
      <c r="J7">
        <v>5.42</v>
      </c>
      <c r="N7">
        <v>6</v>
      </c>
      <c r="R7" s="11">
        <v>7</v>
      </c>
      <c r="S7" s="11">
        <v>8.5353451702905758</v>
      </c>
      <c r="T7" s="11">
        <v>18.876674171311766</v>
      </c>
    </row>
    <row r="8" spans="1:20" x14ac:dyDescent="0.3">
      <c r="A8" t="s">
        <v>61</v>
      </c>
      <c r="B8" t="s">
        <v>33</v>
      </c>
      <c r="C8" s="9">
        <v>4.41</v>
      </c>
      <c r="D8" s="9">
        <v>7.71</v>
      </c>
      <c r="E8" s="9">
        <v>8.99</v>
      </c>
      <c r="F8" s="9">
        <v>6.53</v>
      </c>
      <c r="G8" s="9">
        <v>7.21</v>
      </c>
      <c r="H8" s="9">
        <v>4.95</v>
      </c>
      <c r="I8">
        <v>6.63</v>
      </c>
      <c r="J8">
        <v>3.25</v>
      </c>
      <c r="N8">
        <v>7</v>
      </c>
    </row>
    <row r="9" spans="1:20" x14ac:dyDescent="0.3">
      <c r="A9" t="s">
        <v>62</v>
      </c>
      <c r="B9" t="s">
        <v>33</v>
      </c>
      <c r="C9" s="9">
        <v>23.51</v>
      </c>
      <c r="D9" s="9">
        <v>23.21</v>
      </c>
      <c r="E9" s="9">
        <v>294.18</v>
      </c>
      <c r="F9" s="9">
        <v>271</v>
      </c>
      <c r="G9" s="9">
        <v>264.18</v>
      </c>
      <c r="H9" s="9">
        <v>196.66</v>
      </c>
      <c r="I9">
        <v>228.23</v>
      </c>
      <c r="J9">
        <v>251.49</v>
      </c>
    </row>
    <row r="10" spans="1:20" x14ac:dyDescent="0.3">
      <c r="A10" t="s">
        <v>63</v>
      </c>
      <c r="B10" t="s">
        <v>41</v>
      </c>
      <c r="C10" s="9">
        <v>6.82</v>
      </c>
      <c r="D10" s="9">
        <v>9.23</v>
      </c>
      <c r="E10" s="9">
        <v>10.02</v>
      </c>
      <c r="F10" s="9">
        <v>8.2899999999999991</v>
      </c>
      <c r="G10" s="9">
        <v>10.35</v>
      </c>
      <c r="H10" s="9">
        <v>6.13</v>
      </c>
      <c r="I10">
        <v>8.33</v>
      </c>
      <c r="J10">
        <v>8.26</v>
      </c>
    </row>
    <row r="11" spans="1:20" x14ac:dyDescent="0.3">
      <c r="A11" t="s">
        <v>64</v>
      </c>
      <c r="B11" t="s">
        <v>94</v>
      </c>
      <c r="C11" s="9">
        <v>11.32</v>
      </c>
      <c r="D11" s="9">
        <v>11.32</v>
      </c>
      <c r="E11" s="9">
        <v>11.32</v>
      </c>
      <c r="F11" s="9">
        <v>11.32</v>
      </c>
      <c r="G11" s="9">
        <v>11.67</v>
      </c>
      <c r="H11" s="9">
        <v>11.95</v>
      </c>
      <c r="I11">
        <v>11.95</v>
      </c>
      <c r="J11">
        <v>11.95</v>
      </c>
    </row>
    <row r="12" spans="1:20" x14ac:dyDescent="0.3">
      <c r="A12" t="s">
        <v>65</v>
      </c>
      <c r="B12" t="s">
        <v>94</v>
      </c>
      <c r="C12" s="9">
        <v>54.03</v>
      </c>
      <c r="D12" s="9">
        <v>53.31</v>
      </c>
      <c r="E12" s="9">
        <v>53.84</v>
      </c>
      <c r="F12" s="9">
        <v>53.67</v>
      </c>
      <c r="G12" s="9">
        <v>53.67</v>
      </c>
      <c r="H12" s="9">
        <v>54.75</v>
      </c>
      <c r="I12">
        <v>54.39</v>
      </c>
      <c r="J12">
        <v>54.4</v>
      </c>
    </row>
    <row r="13" spans="1:20" x14ac:dyDescent="0.3">
      <c r="A13" t="s">
        <v>47</v>
      </c>
      <c r="B13" t="s">
        <v>50</v>
      </c>
      <c r="C13" s="9">
        <v>1014.07</v>
      </c>
      <c r="D13" s="9">
        <v>1002.74</v>
      </c>
      <c r="E13" s="9">
        <v>1040.05</v>
      </c>
      <c r="F13" s="9">
        <v>1027.44</v>
      </c>
      <c r="G13" s="9">
        <v>1012.1</v>
      </c>
      <c r="H13" s="9">
        <v>1030.53</v>
      </c>
      <c r="I13">
        <v>1031.27</v>
      </c>
      <c r="J13">
        <v>1001.61</v>
      </c>
    </row>
    <row r="14" spans="1:20" x14ac:dyDescent="0.3">
      <c r="A14" t="s">
        <v>66</v>
      </c>
      <c r="B14" t="s">
        <v>50</v>
      </c>
      <c r="C14" s="9">
        <v>1019.19</v>
      </c>
      <c r="D14" s="9">
        <v>1005.78</v>
      </c>
      <c r="E14" s="9">
        <v>1048.1300000000001</v>
      </c>
      <c r="F14" s="9">
        <v>1032.3</v>
      </c>
      <c r="G14" s="9">
        <v>1020.73</v>
      </c>
      <c r="H14" s="9">
        <v>1038.75</v>
      </c>
      <c r="I14">
        <v>1041.48</v>
      </c>
      <c r="J14">
        <v>1010.21</v>
      </c>
    </row>
    <row r="15" spans="1:20" x14ac:dyDescent="0.3">
      <c r="A15" t="s">
        <v>67</v>
      </c>
      <c r="B15" t="s">
        <v>50</v>
      </c>
      <c r="C15" s="9">
        <v>1016.6</v>
      </c>
      <c r="D15" s="9">
        <v>1010.37</v>
      </c>
      <c r="E15" s="9">
        <v>1056.4000000000001</v>
      </c>
      <c r="F15" s="9">
        <v>1035.01</v>
      </c>
      <c r="G15" s="9">
        <v>1029</v>
      </c>
      <c r="H15" s="9">
        <v>1042.6600000000001</v>
      </c>
      <c r="I15">
        <v>1045.31</v>
      </c>
      <c r="J15">
        <v>1014.5</v>
      </c>
    </row>
    <row r="16" spans="1:20" x14ac:dyDescent="0.3">
      <c r="A16" t="s">
        <v>68</v>
      </c>
      <c r="B16" t="s">
        <v>51</v>
      </c>
      <c r="C16" s="9">
        <v>0.9</v>
      </c>
      <c r="D16" s="9">
        <v>0.9</v>
      </c>
      <c r="E16" s="9">
        <v>0.9</v>
      </c>
      <c r="F16" s="9">
        <v>0.9</v>
      </c>
      <c r="G16" s="9">
        <v>0.9</v>
      </c>
      <c r="H16" s="9">
        <v>0.7</v>
      </c>
      <c r="I16">
        <v>0.7</v>
      </c>
      <c r="J16">
        <v>0.7</v>
      </c>
    </row>
    <row r="17" spans="1:10" x14ac:dyDescent="0.3">
      <c r="A17" t="s">
        <v>69</v>
      </c>
      <c r="B17" t="s">
        <v>51</v>
      </c>
      <c r="C17" s="9">
        <v>0.89</v>
      </c>
      <c r="D17" s="9">
        <v>0.88</v>
      </c>
      <c r="E17" s="9">
        <v>0.88</v>
      </c>
      <c r="F17" s="9">
        <v>0.89</v>
      </c>
      <c r="G17" s="9">
        <v>0.88</v>
      </c>
      <c r="H17" s="9">
        <v>0.69</v>
      </c>
      <c r="I17">
        <v>0.68</v>
      </c>
      <c r="J17">
        <v>0.7</v>
      </c>
    </row>
    <row r="18" spans="1:10" x14ac:dyDescent="0.3">
      <c r="A18" t="s">
        <v>70</v>
      </c>
      <c r="B18" t="s">
        <v>94</v>
      </c>
      <c r="C18" s="9">
        <v>6.48</v>
      </c>
      <c r="D18" s="9">
        <v>6.89</v>
      </c>
      <c r="E18" s="9">
        <v>6.97</v>
      </c>
      <c r="F18" s="9">
        <v>5.86</v>
      </c>
      <c r="G18" s="9">
        <v>6.6</v>
      </c>
      <c r="H18" s="9">
        <v>6.49</v>
      </c>
      <c r="I18">
        <v>6.78</v>
      </c>
      <c r="J18">
        <v>5.67</v>
      </c>
    </row>
    <row r="19" spans="1:10" x14ac:dyDescent="0.3">
      <c r="A19" t="s">
        <v>71</v>
      </c>
      <c r="B19" t="s">
        <v>95</v>
      </c>
      <c r="C19" s="9">
        <v>1.069</v>
      </c>
      <c r="D19" s="9">
        <v>1.0649999999999999</v>
      </c>
      <c r="E19" s="9">
        <v>1.0529999999999999</v>
      </c>
      <c r="F19" s="9">
        <v>1.0569999999999999</v>
      </c>
      <c r="G19" s="9">
        <v>1.069</v>
      </c>
      <c r="H19" s="9">
        <v>1.075</v>
      </c>
      <c r="I19">
        <v>1.071</v>
      </c>
      <c r="J19">
        <v>1.0589999999999999</v>
      </c>
    </row>
    <row r="20" spans="1:10" x14ac:dyDescent="0.3">
      <c r="A20" t="s">
        <v>72</v>
      </c>
      <c r="B20" t="s">
        <v>95</v>
      </c>
      <c r="C20" s="9">
        <v>1.091</v>
      </c>
      <c r="D20" s="9">
        <v>1.097</v>
      </c>
      <c r="E20" s="9">
        <v>1.1020000000000001</v>
      </c>
      <c r="F20" s="9">
        <v>1.097</v>
      </c>
      <c r="G20" s="9">
        <v>1.0920000000000001</v>
      </c>
      <c r="H20" s="9">
        <v>1.1020000000000001</v>
      </c>
      <c r="I20">
        <v>1.0960000000000001</v>
      </c>
      <c r="J20">
        <v>1.073</v>
      </c>
    </row>
    <row r="21" spans="1:10" x14ac:dyDescent="0.3">
      <c r="A21" t="s">
        <v>73</v>
      </c>
      <c r="B21" t="s">
        <v>205</v>
      </c>
      <c r="C21" s="9">
        <v>45.14</v>
      </c>
      <c r="D21" s="9">
        <v>51.61</v>
      </c>
      <c r="E21" s="9">
        <v>47.91</v>
      </c>
      <c r="F21" s="9">
        <v>44.15</v>
      </c>
      <c r="G21" s="9">
        <v>45.55</v>
      </c>
      <c r="H21" s="9">
        <v>35.78</v>
      </c>
      <c r="I21">
        <v>39.159999999999997</v>
      </c>
      <c r="J21">
        <v>35.96</v>
      </c>
    </row>
    <row r="22" spans="1:10" x14ac:dyDescent="0.3">
      <c r="A22" t="s">
        <v>17</v>
      </c>
      <c r="B22" t="s">
        <v>205</v>
      </c>
      <c r="C22" s="9">
        <v>46.62</v>
      </c>
      <c r="D22" s="9">
        <v>52.68</v>
      </c>
      <c r="E22" s="9">
        <v>48.73</v>
      </c>
      <c r="F22" s="9">
        <v>45.3</v>
      </c>
      <c r="G22" s="9">
        <v>47.05</v>
      </c>
      <c r="H22" s="9">
        <v>36.56</v>
      </c>
      <c r="I22">
        <v>40.79</v>
      </c>
      <c r="J22">
        <v>38.520000000000003</v>
      </c>
    </row>
    <row r="23" spans="1:10" x14ac:dyDescent="0.3">
      <c r="A23" t="s">
        <v>19</v>
      </c>
      <c r="B23" t="s">
        <v>205</v>
      </c>
      <c r="C23" s="9">
        <v>49.38</v>
      </c>
      <c r="D23" s="9">
        <v>53.57</v>
      </c>
      <c r="E23" s="9">
        <v>48.67</v>
      </c>
      <c r="F23" s="9">
        <v>47.59</v>
      </c>
      <c r="G23" s="9">
        <v>50.02</v>
      </c>
      <c r="H23" s="9">
        <v>37.270000000000003</v>
      </c>
      <c r="I23">
        <v>43.82</v>
      </c>
      <c r="J23">
        <v>42.51</v>
      </c>
    </row>
    <row r="24" spans="1:10" x14ac:dyDescent="0.3">
      <c r="A24" t="s">
        <v>20</v>
      </c>
      <c r="B24" t="s">
        <v>205</v>
      </c>
      <c r="C24" s="9">
        <v>50.97</v>
      </c>
      <c r="D24" s="9">
        <v>54.13</v>
      </c>
      <c r="E24" s="9">
        <v>48.61</v>
      </c>
      <c r="F24" s="9">
        <v>49.28</v>
      </c>
      <c r="G24" s="9">
        <v>51.8</v>
      </c>
      <c r="H24" s="9">
        <v>37.96</v>
      </c>
      <c r="I24">
        <v>45.76</v>
      </c>
      <c r="J24">
        <v>44.62</v>
      </c>
    </row>
    <row r="25" spans="1:10" x14ac:dyDescent="0.3">
      <c r="A25" t="s">
        <v>21</v>
      </c>
      <c r="B25" t="s">
        <v>205</v>
      </c>
      <c r="C25" s="9">
        <v>52.49</v>
      </c>
      <c r="D25" s="9">
        <v>55.1</v>
      </c>
      <c r="E25" s="9">
        <v>48.67</v>
      </c>
      <c r="F25" s="9">
        <v>51.04</v>
      </c>
      <c r="G25" s="9">
        <v>53.27</v>
      </c>
      <c r="H25" s="9">
        <v>38.75</v>
      </c>
      <c r="I25">
        <v>47.36</v>
      </c>
      <c r="J25">
        <v>45.99</v>
      </c>
    </row>
    <row r="26" spans="1:10" x14ac:dyDescent="0.3">
      <c r="A26" t="s">
        <v>22</v>
      </c>
      <c r="B26" t="s">
        <v>205</v>
      </c>
      <c r="C26" s="9">
        <v>56.29</v>
      </c>
      <c r="D26" s="9">
        <v>60.1</v>
      </c>
      <c r="E26" s="9">
        <v>50.85</v>
      </c>
      <c r="F26" s="9">
        <v>56.19</v>
      </c>
      <c r="G26" s="9">
        <v>57.25</v>
      </c>
      <c r="H26" s="9">
        <v>42.86</v>
      </c>
      <c r="I26">
        <v>52.69</v>
      </c>
      <c r="J26">
        <v>48.32</v>
      </c>
    </row>
    <row r="27" spans="1:10" x14ac:dyDescent="0.3">
      <c r="A27" t="s">
        <v>23</v>
      </c>
      <c r="B27" t="s">
        <v>205</v>
      </c>
      <c r="C27" s="9">
        <v>57.47</v>
      </c>
      <c r="D27" s="9">
        <v>64.31</v>
      </c>
      <c r="E27" s="9">
        <v>56.46</v>
      </c>
      <c r="F27" s="9">
        <v>58.26</v>
      </c>
      <c r="G27" s="9">
        <v>58.54</v>
      </c>
      <c r="H27" s="9">
        <v>48.13</v>
      </c>
      <c r="I27">
        <v>55.6</v>
      </c>
      <c r="J27">
        <v>46.78</v>
      </c>
    </row>
    <row r="28" spans="1:10" x14ac:dyDescent="0.3">
      <c r="A28" t="s">
        <v>24</v>
      </c>
      <c r="B28" t="s">
        <v>205</v>
      </c>
      <c r="C28" s="9">
        <v>56.03</v>
      </c>
      <c r="D28" s="9">
        <v>65.03</v>
      </c>
      <c r="E28" s="9">
        <v>58.9</v>
      </c>
      <c r="F28" s="9">
        <v>58.25</v>
      </c>
      <c r="G28" s="9">
        <v>58.36</v>
      </c>
      <c r="H28" s="9">
        <v>49.21</v>
      </c>
      <c r="I28">
        <v>54.88</v>
      </c>
      <c r="J28">
        <v>44.16</v>
      </c>
    </row>
    <row r="29" spans="1:10" x14ac:dyDescent="0.3">
      <c r="A29" t="s">
        <v>25</v>
      </c>
      <c r="B29" t="s">
        <v>205</v>
      </c>
      <c r="C29" s="9">
        <v>49.1</v>
      </c>
      <c r="D29" s="9">
        <v>58.31</v>
      </c>
      <c r="E29" s="9">
        <v>57.95</v>
      </c>
      <c r="F29" s="9">
        <v>53.51</v>
      </c>
      <c r="G29" s="9">
        <v>52.17</v>
      </c>
      <c r="H29" s="9">
        <v>46.94</v>
      </c>
      <c r="I29">
        <v>50.02</v>
      </c>
      <c r="J29">
        <v>40.9</v>
      </c>
    </row>
    <row r="30" spans="1:10" x14ac:dyDescent="0.3">
      <c r="A30" t="s">
        <v>16</v>
      </c>
      <c r="B30" t="s">
        <v>205</v>
      </c>
      <c r="C30" s="9">
        <v>42.18</v>
      </c>
      <c r="D30" s="9">
        <v>49.24</v>
      </c>
      <c r="E30" s="9">
        <v>46.68</v>
      </c>
      <c r="F30" s="9">
        <v>41.78</v>
      </c>
      <c r="G30" s="9">
        <v>44.38</v>
      </c>
      <c r="H30" s="9">
        <v>38.93</v>
      </c>
      <c r="I30">
        <v>39.58</v>
      </c>
      <c r="J30">
        <v>36.57</v>
      </c>
    </row>
    <row r="31" spans="1:10" x14ac:dyDescent="0.3">
      <c r="A31" t="s">
        <v>74</v>
      </c>
      <c r="B31" t="s">
        <v>205</v>
      </c>
      <c r="C31" s="9">
        <v>44.96</v>
      </c>
      <c r="D31" s="9">
        <v>51.39</v>
      </c>
      <c r="E31" s="9">
        <v>47.67</v>
      </c>
      <c r="F31" s="9">
        <v>43.92</v>
      </c>
      <c r="G31" s="9">
        <v>45.45</v>
      </c>
      <c r="H31" s="9">
        <v>35.76</v>
      </c>
      <c r="I31">
        <v>39.159999999999997</v>
      </c>
      <c r="J31">
        <v>36.01</v>
      </c>
    </row>
    <row r="32" spans="1:10" x14ac:dyDescent="0.3">
      <c r="A32" t="s">
        <v>75</v>
      </c>
      <c r="B32" t="s">
        <v>205</v>
      </c>
      <c r="C32" s="9">
        <v>43.37</v>
      </c>
      <c r="D32" s="9">
        <v>51.32</v>
      </c>
      <c r="E32" s="9">
        <v>51.62</v>
      </c>
      <c r="F32" s="9">
        <v>47.7</v>
      </c>
      <c r="G32" s="9">
        <v>45.92</v>
      </c>
      <c r="H32" s="9">
        <v>41.79</v>
      </c>
      <c r="I32">
        <v>43.21</v>
      </c>
      <c r="J32">
        <v>36.39</v>
      </c>
    </row>
    <row r="33" spans="1:10" x14ac:dyDescent="0.3">
      <c r="A33" t="s">
        <v>76</v>
      </c>
      <c r="B33" t="s">
        <v>205</v>
      </c>
      <c r="C33" s="9">
        <v>44.15</v>
      </c>
      <c r="D33" s="9">
        <v>50.31</v>
      </c>
      <c r="E33" s="9">
        <v>46.72</v>
      </c>
      <c r="F33" s="9">
        <v>43.07</v>
      </c>
      <c r="G33" s="9">
        <v>44.87</v>
      </c>
      <c r="H33" s="9">
        <v>35.14</v>
      </c>
      <c r="I33">
        <v>38.56</v>
      </c>
      <c r="J33">
        <v>35.58</v>
      </c>
    </row>
    <row r="34" spans="1:10" x14ac:dyDescent="0.3">
      <c r="A34" t="s">
        <v>77</v>
      </c>
      <c r="B34" t="s">
        <v>205</v>
      </c>
      <c r="C34" s="9">
        <v>36.06</v>
      </c>
      <c r="D34" s="9">
        <v>35.92</v>
      </c>
      <c r="E34" s="9">
        <v>35.950000000000003</v>
      </c>
      <c r="F34" s="9">
        <v>36.119999999999997</v>
      </c>
      <c r="G34" s="9">
        <v>38.44</v>
      </c>
      <c r="H34" s="9">
        <v>36.299999999999997</v>
      </c>
      <c r="I34">
        <v>36.46</v>
      </c>
      <c r="J34">
        <v>36.24</v>
      </c>
    </row>
    <row r="35" spans="1:10" x14ac:dyDescent="0.3">
      <c r="A35" t="s">
        <v>78</v>
      </c>
      <c r="B35" t="s">
        <v>205</v>
      </c>
      <c r="C35" s="9">
        <v>109.87</v>
      </c>
      <c r="D35" s="9">
        <v>109.15</v>
      </c>
      <c r="E35" s="9">
        <v>109.62</v>
      </c>
      <c r="F35" s="9">
        <v>110.49</v>
      </c>
      <c r="G35" s="9">
        <v>112.31</v>
      </c>
      <c r="H35" s="9">
        <v>103.18</v>
      </c>
      <c r="I35">
        <v>105.44</v>
      </c>
      <c r="J35">
        <v>110.81</v>
      </c>
    </row>
    <row r="36" spans="1:10" x14ac:dyDescent="0.3">
      <c r="A36" t="s">
        <v>79</v>
      </c>
      <c r="B36" t="s">
        <v>205</v>
      </c>
      <c r="C36" s="9">
        <v>107.81</v>
      </c>
      <c r="D36" s="9">
        <v>105.5</v>
      </c>
      <c r="E36" s="9">
        <v>105.29</v>
      </c>
      <c r="F36" s="9">
        <v>107.4</v>
      </c>
      <c r="G36" s="9">
        <v>110.1</v>
      </c>
      <c r="H36" s="9">
        <v>100.05</v>
      </c>
      <c r="I36">
        <v>102.8</v>
      </c>
      <c r="J36">
        <v>109.65</v>
      </c>
    </row>
    <row r="37" spans="1:10" x14ac:dyDescent="0.3">
      <c r="A37" t="s">
        <v>80</v>
      </c>
      <c r="B37" t="s">
        <v>205</v>
      </c>
      <c r="C37" s="9">
        <v>15.7</v>
      </c>
      <c r="D37" s="9">
        <v>20.81</v>
      </c>
      <c r="E37" s="9">
        <v>24.87</v>
      </c>
      <c r="F37" s="9">
        <v>18.5</v>
      </c>
      <c r="G37" s="9">
        <v>22</v>
      </c>
      <c r="H37" s="9">
        <v>15.2</v>
      </c>
      <c r="I37">
        <v>19.07</v>
      </c>
      <c r="J37">
        <v>15.51</v>
      </c>
    </row>
    <row r="38" spans="1:10" x14ac:dyDescent="0.3">
      <c r="A38" t="s">
        <v>81</v>
      </c>
      <c r="B38" t="s">
        <v>205</v>
      </c>
      <c r="C38" s="9">
        <v>112.66</v>
      </c>
      <c r="D38" s="9">
        <v>115.45</v>
      </c>
      <c r="E38" s="9">
        <v>118.52</v>
      </c>
      <c r="F38" s="9">
        <v>117.59</v>
      </c>
      <c r="G38" s="9">
        <v>114.97</v>
      </c>
      <c r="H38" s="9">
        <v>106.07</v>
      </c>
      <c r="I38">
        <v>108.57</v>
      </c>
      <c r="J38">
        <v>113.87</v>
      </c>
    </row>
    <row r="39" spans="1:10" x14ac:dyDescent="0.3">
      <c r="A39" t="s">
        <v>82</v>
      </c>
      <c r="B39" t="s">
        <v>205</v>
      </c>
      <c r="C39" s="9">
        <v>105.46</v>
      </c>
      <c r="D39" s="9">
        <v>103.77</v>
      </c>
      <c r="E39" s="9">
        <v>103.72</v>
      </c>
      <c r="F39" s="9">
        <v>105.68</v>
      </c>
      <c r="G39" s="9">
        <v>108.39</v>
      </c>
      <c r="H39" s="9">
        <v>97.97</v>
      </c>
      <c r="I39">
        <v>101.07</v>
      </c>
      <c r="J39">
        <v>110.38</v>
      </c>
    </row>
    <row r="40" spans="1:10" x14ac:dyDescent="0.3">
      <c r="A40" t="s">
        <v>83</v>
      </c>
      <c r="B40" t="s">
        <v>205</v>
      </c>
      <c r="C40" s="9">
        <v>48.35</v>
      </c>
      <c r="D40" s="9">
        <v>57.02</v>
      </c>
      <c r="E40" s="9">
        <v>57.2</v>
      </c>
      <c r="F40" s="9">
        <v>52.59</v>
      </c>
      <c r="G40" s="9">
        <v>50.35</v>
      </c>
      <c r="H40" s="9">
        <v>45.73</v>
      </c>
      <c r="I40">
        <v>47.26</v>
      </c>
      <c r="J40">
        <v>39.43</v>
      </c>
    </row>
    <row r="41" spans="1:10" x14ac:dyDescent="0.3">
      <c r="A41" t="s">
        <v>206</v>
      </c>
      <c r="B41" t="s">
        <v>205</v>
      </c>
      <c r="C41" s="9">
        <v>117.57</v>
      </c>
      <c r="D41" s="9">
        <v>118.79</v>
      </c>
      <c r="E41" s="9">
        <v>121.07</v>
      </c>
      <c r="F41" s="9">
        <v>120.61</v>
      </c>
      <c r="G41" s="9">
        <v>118.85</v>
      </c>
      <c r="H41" s="9">
        <v>113.05</v>
      </c>
      <c r="I41">
        <v>113.85</v>
      </c>
      <c r="J41">
        <v>116.16</v>
      </c>
    </row>
    <row r="42" spans="1:10" x14ac:dyDescent="0.3">
      <c r="A42" t="s">
        <v>84</v>
      </c>
      <c r="B42" t="s">
        <v>205</v>
      </c>
      <c r="C42" s="9">
        <v>116.73</v>
      </c>
      <c r="D42" s="9">
        <v>118.69</v>
      </c>
      <c r="E42" s="9">
        <v>120.65</v>
      </c>
      <c r="F42" s="9">
        <v>120.23</v>
      </c>
      <c r="G42" s="9">
        <v>118.29</v>
      </c>
      <c r="H42" s="9">
        <v>111.46</v>
      </c>
      <c r="I42">
        <v>113.24</v>
      </c>
      <c r="J42">
        <v>115.82</v>
      </c>
    </row>
    <row r="43" spans="1:10" x14ac:dyDescent="0.3">
      <c r="A43" t="s">
        <v>85</v>
      </c>
      <c r="B43" t="s">
        <v>205</v>
      </c>
      <c r="C43" s="9">
        <v>109.2</v>
      </c>
      <c r="D43" s="9">
        <v>108.2</v>
      </c>
      <c r="E43" s="9">
        <v>114.29</v>
      </c>
      <c r="F43" s="9">
        <v>112.43</v>
      </c>
      <c r="G43" s="9">
        <v>111.21</v>
      </c>
      <c r="H43" s="9">
        <v>98.98</v>
      </c>
      <c r="I43">
        <v>101.82</v>
      </c>
      <c r="J43">
        <v>111.92</v>
      </c>
    </row>
    <row r="44" spans="1:10" x14ac:dyDescent="0.3">
      <c r="A44" t="s">
        <v>86</v>
      </c>
      <c r="B44" t="s">
        <v>205</v>
      </c>
      <c r="C44" s="9">
        <v>106.76</v>
      </c>
      <c r="D44" s="9">
        <v>104.84</v>
      </c>
      <c r="E44" s="9">
        <v>109.7</v>
      </c>
      <c r="F44" s="9">
        <v>108.18</v>
      </c>
      <c r="G44" s="9">
        <v>109.76</v>
      </c>
      <c r="H44" s="9">
        <v>99.03</v>
      </c>
      <c r="I44">
        <v>101.69</v>
      </c>
      <c r="J44">
        <v>111.39</v>
      </c>
    </row>
    <row r="45" spans="1:10" x14ac:dyDescent="0.3">
      <c r="A45" t="s">
        <v>87</v>
      </c>
      <c r="B45" t="s">
        <v>205</v>
      </c>
      <c r="C45" s="9">
        <v>106.59</v>
      </c>
      <c r="D45" s="9">
        <v>104.87</v>
      </c>
      <c r="E45" s="9">
        <v>106.01</v>
      </c>
      <c r="F45" s="9">
        <v>106.98</v>
      </c>
      <c r="G45" s="9">
        <v>109.46</v>
      </c>
      <c r="H45" s="9">
        <v>99.37</v>
      </c>
      <c r="I45">
        <v>101.99</v>
      </c>
      <c r="J45">
        <v>111.62</v>
      </c>
    </row>
    <row r="46" spans="1:10" x14ac:dyDescent="0.3">
      <c r="A46" t="s">
        <v>88</v>
      </c>
      <c r="B46" t="s">
        <v>205</v>
      </c>
      <c r="C46" s="9">
        <v>107.02</v>
      </c>
      <c r="D46" s="9">
        <v>105.07</v>
      </c>
      <c r="E46" s="9">
        <v>104.84</v>
      </c>
      <c r="F46" s="9">
        <v>106.98</v>
      </c>
      <c r="G46" s="9">
        <v>109.2</v>
      </c>
      <c r="H46" s="9">
        <v>99.56</v>
      </c>
      <c r="I46">
        <v>102.18</v>
      </c>
      <c r="J46">
        <v>111.24</v>
      </c>
    </row>
    <row r="47" spans="1:10" x14ac:dyDescent="0.3">
      <c r="A47" t="s">
        <v>89</v>
      </c>
      <c r="B47" t="s">
        <v>205</v>
      </c>
      <c r="C47" s="9">
        <v>30.65</v>
      </c>
      <c r="D47" s="9">
        <v>30.64</v>
      </c>
      <c r="E47" s="9">
        <v>30.74</v>
      </c>
      <c r="F47" s="9">
        <v>30.62</v>
      </c>
      <c r="G47" s="9">
        <v>30.62</v>
      </c>
      <c r="H47" s="9">
        <v>30.63</v>
      </c>
      <c r="I47">
        <v>30.6</v>
      </c>
      <c r="J47">
        <v>30.63</v>
      </c>
    </row>
    <row r="48" spans="1:10" x14ac:dyDescent="0.3">
      <c r="A48" t="s">
        <v>90</v>
      </c>
      <c r="B48" t="s">
        <v>205</v>
      </c>
      <c r="C48" s="9">
        <v>18.079999999999998</v>
      </c>
      <c r="D48" s="9">
        <v>25.01</v>
      </c>
      <c r="E48" s="9">
        <v>29.4</v>
      </c>
      <c r="F48" s="9">
        <v>22.57</v>
      </c>
      <c r="G48" s="9">
        <v>25.99</v>
      </c>
      <c r="H48" s="9">
        <v>16.98</v>
      </c>
      <c r="I48">
        <v>22.26</v>
      </c>
      <c r="J48">
        <v>18.940000000000001</v>
      </c>
    </row>
    <row r="49" spans="1:10" x14ac:dyDescent="0.3">
      <c r="A49" t="s">
        <v>91</v>
      </c>
      <c r="B49" t="s">
        <v>205</v>
      </c>
      <c r="C49" s="9">
        <v>36.799999999999997</v>
      </c>
      <c r="D49" s="9">
        <v>36.630000000000003</v>
      </c>
      <c r="E49" s="9">
        <v>36.68</v>
      </c>
      <c r="F49" s="9">
        <v>37.28</v>
      </c>
      <c r="G49" s="9">
        <v>39.07</v>
      </c>
      <c r="H49" s="9">
        <v>37.1</v>
      </c>
      <c r="I49">
        <v>37.090000000000003</v>
      </c>
      <c r="J49">
        <v>36.840000000000003</v>
      </c>
    </row>
    <row r="50" spans="1:10" x14ac:dyDescent="0.3">
      <c r="A50" t="s">
        <v>92</v>
      </c>
      <c r="B50" t="s">
        <v>205</v>
      </c>
      <c r="C50" s="9">
        <v>48.25</v>
      </c>
      <c r="D50" s="9">
        <v>52.63</v>
      </c>
      <c r="E50" s="9">
        <v>49.43</v>
      </c>
      <c r="F50" s="9">
        <v>46.17</v>
      </c>
      <c r="G50" s="9">
        <v>47.98</v>
      </c>
      <c r="H50" s="9">
        <v>38.06</v>
      </c>
      <c r="I50">
        <v>41.48</v>
      </c>
      <c r="J50">
        <v>39.770000000000003</v>
      </c>
    </row>
    <row r="51" spans="1:10" x14ac:dyDescent="0.3">
      <c r="A51" t="s">
        <v>13</v>
      </c>
      <c r="B51" t="s">
        <v>205</v>
      </c>
      <c r="C51" s="9">
        <v>43.26</v>
      </c>
      <c r="D51" s="9">
        <v>50.54</v>
      </c>
      <c r="E51" s="9">
        <v>49.37</v>
      </c>
      <c r="F51" s="9">
        <v>43.55</v>
      </c>
      <c r="G51" s="9">
        <v>47.16</v>
      </c>
      <c r="H51" s="9">
        <v>40.71</v>
      </c>
      <c r="I51">
        <v>41.86</v>
      </c>
      <c r="J51">
        <v>37.869999999999997</v>
      </c>
    </row>
    <row r="52" spans="1:10" x14ac:dyDescent="0.3">
      <c r="A52" t="s">
        <v>215</v>
      </c>
      <c r="C52" s="9">
        <v>10</v>
      </c>
      <c r="D52" s="9">
        <v>55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114F-AA3A-42AA-9C1F-52087F3C7250}">
  <dimension ref="A1:J138"/>
  <sheetViews>
    <sheetView tabSelected="1" zoomScale="60" zoomScaleNormal="55" workbookViewId="0">
      <selection activeCell="E13" sqref="E13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5.554687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1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A'!C:C),"")</f>
        <v>89.77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A'!C:C),"")</f>
        <v>166.93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ref="G13:G23" si="0">100*(E14-B14)/B14</f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A'!C:C),"")</f>
        <v>49.1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A'!C:C),"")</f>
        <v>49.1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A'!C:C),"")</f>
        <v>6.82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A'!C:C),"")</f>
        <v>42.18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0.3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A'!C:C),"")</f>
        <v>1014.07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A'!C:C),"")</f>
        <v>0.9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A'!C:C),"")</f>
        <v>30.65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A'!C:C),"")</f>
        <v>18.079999999999998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B25" s="7"/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A'!C:C),"")</f>
        <v>89.77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A'!C:C),"")</f>
        <v>1016.6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A'!C:C),"")</f>
        <v>43.26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A'!C:C),"")</f>
        <v>166.93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A'!C:C),"")</f>
        <v>49.1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A'!C:C),"")</f>
        <v>49.1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B33" s="7"/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A'!C:C),"")</f>
        <v>3.52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A'!C:C),"")</f>
        <v>0.28999999999999998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A'!C:C),"")</f>
        <v>1014.07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A'!C:C),"")</f>
        <v>1019.19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A'!C:C),"")</f>
        <v>42.18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A'!C:C),"")</f>
        <v>45.14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A'!C:C),"")</f>
        <v>46.62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A'!C:C),"")</f>
        <v>49.38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A'!C:C),"")</f>
        <v>50.97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A'!C:C),"")</f>
        <v>52.49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A'!C:C),"")</f>
        <v>56.29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A'!C:C),"")</f>
        <v>57.47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A'!C:C),"")</f>
        <v>56.03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A'!C:C),"")</f>
        <v>48.35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A'!C:C),"")</f>
        <v>6.48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A'!C:C),"")</f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17.8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B54" s="7"/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A'!C:C),"")</f>
        <v>171.04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A'!C:C),"")</f>
        <v>44.96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A'!C:C),"")</f>
        <v>43.37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A'!C:C),"")</f>
        <v>44.15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B60" s="7"/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A'!C:C),"")</f>
        <v>116.73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A'!C:C),"")</f>
        <v>109.2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A'!C:C),"")</f>
        <v>106.76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A'!C:C),"")</f>
        <v>106.59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A'!C:C),"")</f>
        <v>107.02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A'!C:C),"")</f>
        <v>107.81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A'!C:C),"")</f>
        <v>112.66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A'!C:C),"")</f>
        <v>105.46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B70" s="7"/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A'!C:C),"")</f>
        <v>2.91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A'!C:C),"")</f>
        <v>6.82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A'!C:C),"")</f>
        <v>54.03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A'!C:C),"")</f>
        <v>0.9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A'!C:C),"")</f>
        <v>15.7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A'!C:C),"")</f>
        <v>117.57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B78" s="7"/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A'!C:C),"")</f>
        <v>4.41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A'!C:C),"")</f>
        <v>0.89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s="7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A'!C:C),"")</f>
        <v>48.25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A'!C:C),"")</f>
        <v>109.87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B87" s="7"/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A'!C:C),"")</f>
        <v>30.65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B90" s="7"/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A'!C:C),"")</f>
        <v>18.079999999999998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B93" s="7"/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A'!C:C),"")</f>
        <v>23.51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A'!C:C),"")</f>
        <v>1.069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A'!C:C),"")</f>
        <v>1.091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A'!C:C),"")</f>
        <v>36.06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A'!C:C),"")</f>
        <v>36.799999999999997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100" spans="1:8" x14ac:dyDescent="0.3">
      <c r="A100" s="6" t="s">
        <v>260</v>
      </c>
      <c r="B100" s="7"/>
      <c r="C100" s="7"/>
      <c r="D100" s="7"/>
      <c r="E100" s="7"/>
      <c r="F100" s="7"/>
      <c r="G100" s="7" t="s">
        <v>202</v>
      </c>
    </row>
    <row r="101" spans="1:8" x14ac:dyDescent="0.3">
      <c r="A101" t="s">
        <v>265</v>
      </c>
      <c r="B101">
        <v>0.42</v>
      </c>
      <c r="C101" t="s">
        <v>244</v>
      </c>
      <c r="D101" t="s">
        <v>243</v>
      </c>
      <c r="E101" t="e" cm="1">
        <f t="array" ref="E101">_xll.ReadKSpice(_xlfn.CONCAT("/",$B$1,"/",$B$2,"/",D101,"@V_Unit=",F101))</f>
        <v>#N/A</v>
      </c>
      <c r="F101" t="s">
        <v>33</v>
      </c>
      <c r="G101" t="e">
        <f>100*(E101-B101)/B101</f>
        <v>#N/A</v>
      </c>
    </row>
    <row r="102" spans="1:8" x14ac:dyDescent="0.3">
      <c r="A102" t="s">
        <v>265</v>
      </c>
      <c r="B102">
        <v>0.3</v>
      </c>
      <c r="C102" t="s">
        <v>250</v>
      </c>
      <c r="D102" t="s">
        <v>251</v>
      </c>
      <c r="E102" t="e" cm="1">
        <f t="array" ref="E102">_xll.ReadKSpice(_xlfn.CONCAT("/",$B$1,"/",$B$2,"/",D102,"@V_Unit=",F102))</f>
        <v>#N/A</v>
      </c>
      <c r="F102" t="s">
        <v>43</v>
      </c>
      <c r="G102" t="e">
        <f t="shared" ref="G102:G105" si="5">100*(E102-B102)/B102</f>
        <v>#N/A</v>
      </c>
      <c r="H102" t="s">
        <v>256</v>
      </c>
    </row>
    <row r="103" spans="1:8" x14ac:dyDescent="0.3">
      <c r="A103" t="s">
        <v>261</v>
      </c>
      <c r="B103">
        <f>((B34-B37)/B34)*100</f>
        <v>91.76136363636364</v>
      </c>
      <c r="C103" t="s">
        <v>247</v>
      </c>
      <c r="D103" t="s">
        <v>252</v>
      </c>
      <c r="E103" t="e" cm="1">
        <f t="array" ref="E103">_xll.ReadKSpice(_xlfn.CONCAT("/",$B$1,"/",$B$2,"/",D103,"@V_Unit=",F103))</f>
        <v>#N/A</v>
      </c>
      <c r="F103" t="s">
        <v>229</v>
      </c>
      <c r="G103" t="e">
        <f t="shared" si="5"/>
        <v>#N/A</v>
      </c>
      <c r="H103" t="s">
        <v>257</v>
      </c>
    </row>
    <row r="104" spans="1:8" x14ac:dyDescent="0.3">
      <c r="A104" t="s">
        <v>261</v>
      </c>
      <c r="C104" t="s">
        <v>248</v>
      </c>
      <c r="D104" t="s">
        <v>253</v>
      </c>
      <c r="E104" t="e" cm="1">
        <f t="array" ref="E104">_xll.ReadKSpice(_xlfn.CONCAT("/",$B$1,"/",$B$2,"/",D104,"@V_Unit=",F104))</f>
        <v>#N/A</v>
      </c>
      <c r="F104" t="s">
        <v>255</v>
      </c>
      <c r="G104" t="e">
        <f t="shared" si="5"/>
        <v>#N/A</v>
      </c>
      <c r="H104" t="s">
        <v>258</v>
      </c>
    </row>
    <row r="105" spans="1:8" x14ac:dyDescent="0.3">
      <c r="C105" t="s">
        <v>249</v>
      </c>
      <c r="D105" t="s">
        <v>254</v>
      </c>
      <c r="E105" t="e" cm="1">
        <f t="array" ref="E105">_xll.ReadKSpice(_xlfn.CONCAT("/",$B$1,"/",$B$2,"/",D105,"@V_Unit=",F105))</f>
        <v>#N/A</v>
      </c>
      <c r="F105" t="s">
        <v>229</v>
      </c>
      <c r="G105" t="e">
        <f t="shared" si="5"/>
        <v>#N/A</v>
      </c>
      <c r="H105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98">
    <cfRule type="expression" dxfId="83" priority="10">
      <formula>ABS(G13)&gt;10</formula>
    </cfRule>
    <cfRule type="expression" dxfId="82" priority="11">
      <formula>AND(ABS(G13)&gt;=5,ABS(G13)&lt;10)</formula>
    </cfRule>
    <cfRule type="expression" dxfId="81" priority="12">
      <formula>ABS(G13)&lt;5</formula>
    </cfRule>
  </conditionalFormatting>
  <conditionalFormatting sqref="G100:G105">
    <cfRule type="expression" dxfId="80" priority="1">
      <formula>ABS(G100)&gt;10</formula>
    </cfRule>
    <cfRule type="expression" dxfId="79" priority="2">
      <formula>AND(ABS(G100)&gt;=5,ABS(G100)&lt;10)</formula>
    </cfRule>
    <cfRule type="expression" dxfId="78" priority="3">
      <formula>ABS(G100)&lt;5</formula>
    </cfRule>
  </conditionalFormatting>
  <conditionalFormatting sqref="H102:H105">
    <cfRule type="expression" dxfId="77" priority="4">
      <formula>ABS(H102)&gt;10</formula>
    </cfRule>
    <cfRule type="expression" dxfId="76" priority="5">
      <formula>AND(ABS(H102)&gt;=5,ABS(H102)&lt;10)</formula>
    </cfRule>
    <cfRule type="expression" dxfId="75" priority="6">
      <formula>ABS(H102)&lt;5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5B57-6488-4917-BD96-87CB0302BF81}">
  <dimension ref="A1:J142"/>
  <sheetViews>
    <sheetView topLeftCell="A43" zoomScale="62" zoomScaleNormal="55" workbookViewId="0">
      <selection activeCell="R57" sqref="R57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5.554687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1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AVERAGE(ABS(G101:G104))</f>
        <v>9.8841281165009427</v>
      </c>
      <c r="J9" s="2"/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AVERAGE(ABS(G26:G31),ABS(G34),ABS(G37:G49),ABS(G52),ABS(G55),ABS(G57:G58),ABS(G61:G68),ABS(G71:G76),ABS(G79),ABS(G80),ABS(G83),ABS(G85),ABS(G88),ABS(G91),ABS(G101:G103))</f>
        <v>5.3414387709970743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89.77</v>
      </c>
      <c r="C13" t="s">
        <v>30</v>
      </c>
      <c r="D13" t="s">
        <v>111</v>
      </c>
      <c r="E13">
        <v>89.77</v>
      </c>
      <c r="F13" t="s">
        <v>31</v>
      </c>
      <c r="G13">
        <v>0</v>
      </c>
      <c r="H13" t="s">
        <v>35</v>
      </c>
    </row>
    <row r="14" spans="1:10" x14ac:dyDescent="0.3">
      <c r="A14" t="s">
        <v>58</v>
      </c>
      <c r="B14">
        <v>166.93</v>
      </c>
      <c r="C14" t="s">
        <v>32</v>
      </c>
      <c r="D14" t="s">
        <v>112</v>
      </c>
      <c r="E14">
        <v>166.9</v>
      </c>
      <c r="F14" t="s">
        <v>33</v>
      </c>
      <c r="G14">
        <v>-1.7971604864315063E-2</v>
      </c>
      <c r="H14" t="s">
        <v>36</v>
      </c>
    </row>
    <row r="15" spans="1:10" x14ac:dyDescent="0.3">
      <c r="A15" t="s">
        <v>25</v>
      </c>
      <c r="B15">
        <v>49.1</v>
      </c>
      <c r="C15" t="s">
        <v>107</v>
      </c>
      <c r="D15" t="s">
        <v>113</v>
      </c>
      <c r="E15">
        <v>49.100000000000023</v>
      </c>
      <c r="F15" t="s">
        <v>14</v>
      </c>
      <c r="G15">
        <v>4.3414016441553984E-14</v>
      </c>
      <c r="H15" t="s">
        <v>37</v>
      </c>
    </row>
    <row r="16" spans="1:10" x14ac:dyDescent="0.3">
      <c r="A16" t="s">
        <v>25</v>
      </c>
      <c r="B16">
        <v>49.1</v>
      </c>
      <c r="C16" t="s">
        <v>38</v>
      </c>
      <c r="D16" t="s">
        <v>220</v>
      </c>
      <c r="E16">
        <v>49.100000000000023</v>
      </c>
      <c r="F16" t="s">
        <v>14</v>
      </c>
      <c r="G16">
        <v>4.3414016441553984E-14</v>
      </c>
      <c r="H16" t="s">
        <v>108</v>
      </c>
    </row>
    <row r="17" spans="1:8" x14ac:dyDescent="0.3">
      <c r="A17" t="s">
        <v>63</v>
      </c>
      <c r="B17">
        <v>6.82</v>
      </c>
      <c r="C17" t="s">
        <v>40</v>
      </c>
      <c r="D17" t="s">
        <v>219</v>
      </c>
      <c r="E17">
        <v>6.8</v>
      </c>
      <c r="F17" t="s">
        <v>41</v>
      </c>
      <c r="G17">
        <v>-0.29325513196481612</v>
      </c>
      <c r="H17" t="s">
        <v>39</v>
      </c>
    </row>
    <row r="18" spans="1:8" x14ac:dyDescent="0.3">
      <c r="A18" t="s">
        <v>16</v>
      </c>
      <c r="B18">
        <v>42.18</v>
      </c>
      <c r="C18" t="s">
        <v>231</v>
      </c>
      <c r="D18" t="s">
        <v>232</v>
      </c>
      <c r="E18">
        <v>42.180000000000007</v>
      </c>
      <c r="F18" t="s">
        <v>14</v>
      </c>
      <c r="G18">
        <v>1.6845489230917501E-14</v>
      </c>
      <c r="H18" t="s">
        <v>42</v>
      </c>
    </row>
    <row r="19" spans="1:8" x14ac:dyDescent="0.3">
      <c r="B19">
        <v>0.3</v>
      </c>
      <c r="C19" t="s">
        <v>105</v>
      </c>
      <c r="D19" t="s">
        <v>114</v>
      </c>
      <c r="E19">
        <v>0.29999017224014879</v>
      </c>
      <c r="F19" t="s">
        <v>43</v>
      </c>
      <c r="G19">
        <v>-3.2759199503999232E-3</v>
      </c>
      <c r="H19" t="s">
        <v>44</v>
      </c>
    </row>
    <row r="20" spans="1:8" x14ac:dyDescent="0.3">
      <c r="A20" t="s">
        <v>47</v>
      </c>
      <c r="B20">
        <v>1014.07</v>
      </c>
      <c r="C20" t="s">
        <v>46</v>
      </c>
      <c r="D20" t="s">
        <v>115</v>
      </c>
      <c r="E20">
        <v>1014.07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0.9</v>
      </c>
      <c r="C21" t="s">
        <v>49</v>
      </c>
      <c r="D21" t="s">
        <v>116</v>
      </c>
      <c r="E21">
        <v>0.90000000000000013</v>
      </c>
      <c r="F21" t="s">
        <v>51</v>
      </c>
      <c r="G21">
        <v>1.2335811384723962E-14</v>
      </c>
      <c r="H21" t="s">
        <v>48</v>
      </c>
    </row>
    <row r="22" spans="1:8" x14ac:dyDescent="0.3">
      <c r="A22" t="s">
        <v>89</v>
      </c>
      <c r="B22">
        <v>30.65</v>
      </c>
      <c r="C22" t="s">
        <v>53</v>
      </c>
      <c r="D22" t="s">
        <v>117</v>
      </c>
      <c r="E22">
        <v>30.649999999999977</v>
      </c>
      <c r="F22" t="s">
        <v>14</v>
      </c>
      <c r="G22">
        <v>-6.9547412961836888E-14</v>
      </c>
      <c r="H22" t="s">
        <v>52</v>
      </c>
    </row>
    <row r="23" spans="1:8" x14ac:dyDescent="0.3">
      <c r="A23" t="s">
        <v>90</v>
      </c>
      <c r="B23">
        <v>18.079999999999998</v>
      </c>
      <c r="C23" t="s">
        <v>55</v>
      </c>
      <c r="D23" t="s">
        <v>118</v>
      </c>
      <c r="E23">
        <v>18.079999999999984</v>
      </c>
      <c r="F23" t="s">
        <v>14</v>
      </c>
      <c r="G23">
        <v>-7.8599860150453572E-14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B25" s="7"/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89.77</v>
      </c>
      <c r="C26" t="s">
        <v>12</v>
      </c>
      <c r="D26" t="s">
        <v>119</v>
      </c>
      <c r="E26">
        <v>89.770000014318001</v>
      </c>
      <c r="F26" t="s">
        <v>31</v>
      </c>
      <c r="G26">
        <v>1.594965418263855E-8</v>
      </c>
    </row>
    <row r="27" spans="1:8" x14ac:dyDescent="0.3">
      <c r="A27" t="s">
        <v>67</v>
      </c>
      <c r="B27">
        <v>1016.6</v>
      </c>
      <c r="C27" t="s">
        <v>235</v>
      </c>
      <c r="D27" t="s">
        <v>236</v>
      </c>
      <c r="E27">
        <v>1016.9171043733272</v>
      </c>
      <c r="F27" t="s">
        <v>218</v>
      </c>
      <c r="G27">
        <v>3.1192639516741807E-2</v>
      </c>
    </row>
    <row r="28" spans="1:8" x14ac:dyDescent="0.3">
      <c r="A28" t="s">
        <v>13</v>
      </c>
      <c r="B28">
        <v>43.26</v>
      </c>
      <c r="C28" t="s">
        <v>233</v>
      </c>
      <c r="D28" t="s">
        <v>234</v>
      </c>
      <c r="E28">
        <v>42.179999999849599</v>
      </c>
      <c r="F28" t="s">
        <v>14</v>
      </c>
      <c r="G28">
        <v>-2.4965325939676353</v>
      </c>
    </row>
    <row r="29" spans="1:8" x14ac:dyDescent="0.3">
      <c r="A29" t="s">
        <v>58</v>
      </c>
      <c r="B29">
        <v>166.93</v>
      </c>
      <c r="C29" t="s">
        <v>120</v>
      </c>
      <c r="D29" t="s">
        <v>121</v>
      </c>
      <c r="E29">
        <v>166.89999999927713</v>
      </c>
      <c r="F29" t="s">
        <v>33</v>
      </c>
      <c r="G29">
        <v>-1.7971605297357512E-2</v>
      </c>
    </row>
    <row r="30" spans="1:8" x14ac:dyDescent="0.3">
      <c r="A30" t="s">
        <v>25</v>
      </c>
      <c r="B30">
        <v>49.1</v>
      </c>
      <c r="C30" t="s">
        <v>109</v>
      </c>
      <c r="D30" t="s">
        <v>110</v>
      </c>
      <c r="E30">
        <v>49.105499218910097</v>
      </c>
      <c r="F30" t="s">
        <v>14</v>
      </c>
      <c r="G30">
        <v>1.1200038513433297E-2</v>
      </c>
      <c r="H30" t="s">
        <v>37</v>
      </c>
    </row>
    <row r="31" spans="1:8" x14ac:dyDescent="0.3">
      <c r="A31" t="s">
        <v>25</v>
      </c>
      <c r="B31">
        <v>49.1</v>
      </c>
      <c r="C31" t="s">
        <v>221</v>
      </c>
      <c r="D31" t="s">
        <v>222</v>
      </c>
      <c r="E31">
        <v>43.271167604752065</v>
      </c>
      <c r="F31" t="s">
        <v>14</v>
      </c>
      <c r="G31">
        <v>-11.871349073824716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B33" s="7"/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3.52</v>
      </c>
      <c r="C34" t="s">
        <v>122</v>
      </c>
      <c r="D34" t="s">
        <v>123</v>
      </c>
      <c r="E34">
        <v>3.6572129591566616</v>
      </c>
      <c r="F34" t="s">
        <v>229</v>
      </c>
      <c r="G34">
        <v>3.8980954305869755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0.12217624718496845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6.6244725831580753E-2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0.28999999999999998</v>
      </c>
      <c r="C37" t="s">
        <v>128</v>
      </c>
      <c r="E37">
        <v>0.1884209730165492</v>
      </c>
      <c r="F37" t="s">
        <v>229</v>
      </c>
      <c r="G37">
        <v>-35.027250683948544</v>
      </c>
      <c r="H37" t="s">
        <v>230</v>
      </c>
    </row>
    <row r="38" spans="1:8" x14ac:dyDescent="0.3">
      <c r="A38" t="s">
        <v>47</v>
      </c>
      <c r="B38">
        <v>1014.07</v>
      </c>
      <c r="C38" t="s">
        <v>131</v>
      </c>
      <c r="D38" t="s">
        <v>133</v>
      </c>
      <c r="E38">
        <v>1014.0699995244627</v>
      </c>
      <c r="F38" t="s">
        <v>218</v>
      </c>
      <c r="G38">
        <v>-4.6893939924014491E-8</v>
      </c>
    </row>
    <row r="39" spans="1:8" x14ac:dyDescent="0.3">
      <c r="A39" t="s">
        <v>66</v>
      </c>
      <c r="B39">
        <v>1019.19</v>
      </c>
      <c r="C39" t="s">
        <v>132</v>
      </c>
      <c r="D39" t="s">
        <v>134</v>
      </c>
      <c r="E39">
        <v>1016.7287959994355</v>
      </c>
      <c r="F39" t="s">
        <v>218</v>
      </c>
      <c r="G39">
        <v>-0.24148627837444647</v>
      </c>
    </row>
    <row r="40" spans="1:8" x14ac:dyDescent="0.3">
      <c r="A40" t="s">
        <v>16</v>
      </c>
      <c r="B40">
        <v>42.18</v>
      </c>
      <c r="C40" t="s">
        <v>233</v>
      </c>
      <c r="D40" t="s">
        <v>234</v>
      </c>
      <c r="E40">
        <v>42.179999999849599</v>
      </c>
      <c r="F40" t="s">
        <v>14</v>
      </c>
      <c r="G40">
        <v>-3.5656847055083074E-10</v>
      </c>
      <c r="H40" t="s">
        <v>237</v>
      </c>
    </row>
    <row r="41" spans="1:8" x14ac:dyDescent="0.3">
      <c r="A41" t="s">
        <v>73</v>
      </c>
      <c r="B41">
        <v>45.14</v>
      </c>
      <c r="C41" t="s">
        <v>137</v>
      </c>
      <c r="D41" t="s">
        <v>146</v>
      </c>
      <c r="E41">
        <v>42.885412524194066</v>
      </c>
      <c r="F41" t="s">
        <v>14</v>
      </c>
      <c r="G41">
        <v>-4.9946554625740678</v>
      </c>
    </row>
    <row r="42" spans="1:8" x14ac:dyDescent="0.3">
      <c r="A42" t="s">
        <v>17</v>
      </c>
      <c r="B42">
        <v>46.62</v>
      </c>
      <c r="C42" t="s">
        <v>18</v>
      </c>
      <c r="D42" t="s">
        <v>147</v>
      </c>
      <c r="E42">
        <v>42.857454634455337</v>
      </c>
      <c r="F42" t="s">
        <v>14</v>
      </c>
      <c r="G42">
        <v>-8.0706678797611779</v>
      </c>
    </row>
    <row r="43" spans="1:8" x14ac:dyDescent="0.3">
      <c r="A43" t="s">
        <v>19</v>
      </c>
      <c r="B43">
        <v>49.38</v>
      </c>
      <c r="C43" t="s">
        <v>138</v>
      </c>
      <c r="D43" t="s">
        <v>148</v>
      </c>
      <c r="E43">
        <v>50.898921057707014</v>
      </c>
      <c r="F43" t="s">
        <v>14</v>
      </c>
      <c r="G43">
        <v>3.0759843209943525</v>
      </c>
    </row>
    <row r="44" spans="1:8" x14ac:dyDescent="0.3">
      <c r="A44" t="s">
        <v>20</v>
      </c>
      <c r="B44">
        <v>50.97</v>
      </c>
      <c r="C44" t="s">
        <v>139</v>
      </c>
      <c r="D44" t="s">
        <v>149</v>
      </c>
      <c r="E44">
        <v>51.254026091185722</v>
      </c>
      <c r="F44" t="s">
        <v>14</v>
      </c>
      <c r="G44">
        <v>0.55724169351721187</v>
      </c>
    </row>
    <row r="45" spans="1:8" x14ac:dyDescent="0.3">
      <c r="A45" t="s">
        <v>21</v>
      </c>
      <c r="B45">
        <v>52.49</v>
      </c>
      <c r="C45" t="s">
        <v>140</v>
      </c>
      <c r="D45" t="s">
        <v>150</v>
      </c>
      <c r="E45">
        <v>51.250125430823971</v>
      </c>
      <c r="F45" t="s">
        <v>14</v>
      </c>
      <c r="G45">
        <v>-2.3621157728634619</v>
      </c>
    </row>
    <row r="46" spans="1:8" x14ac:dyDescent="0.3">
      <c r="A46" t="s">
        <v>22</v>
      </c>
      <c r="B46">
        <v>56.29</v>
      </c>
      <c r="C46" t="s">
        <v>141</v>
      </c>
      <c r="D46" t="s">
        <v>151</v>
      </c>
      <c r="E46">
        <v>51.227499898205679</v>
      </c>
      <c r="F46" t="s">
        <v>14</v>
      </c>
      <c r="G46">
        <v>-8.9936047287161482</v>
      </c>
    </row>
    <row r="47" spans="1:8" x14ac:dyDescent="0.3">
      <c r="A47" t="s">
        <v>23</v>
      </c>
      <c r="B47">
        <v>57.47</v>
      </c>
      <c r="C47" t="s">
        <v>142</v>
      </c>
      <c r="D47" t="s">
        <v>152</v>
      </c>
      <c r="E47">
        <v>51.183418205592091</v>
      </c>
      <c r="F47" t="s">
        <v>14</v>
      </c>
      <c r="G47">
        <v>-10.938892977915275</v>
      </c>
    </row>
    <row r="48" spans="1:8" x14ac:dyDescent="0.3">
      <c r="A48" t="s">
        <v>24</v>
      </c>
      <c r="B48">
        <v>56.03</v>
      </c>
      <c r="C48" t="s">
        <v>143</v>
      </c>
      <c r="D48" t="s">
        <v>153</v>
      </c>
      <c r="E48">
        <v>51.060844665328261</v>
      </c>
      <c r="F48" t="s">
        <v>14</v>
      </c>
      <c r="G48">
        <v>-8.8687405580434397</v>
      </c>
    </row>
    <row r="49" spans="1:8" x14ac:dyDescent="0.3">
      <c r="A49" t="s">
        <v>83</v>
      </c>
      <c r="B49">
        <v>48.35</v>
      </c>
      <c r="C49" t="s">
        <v>144</v>
      </c>
      <c r="D49" t="s">
        <v>154</v>
      </c>
      <c r="E49">
        <v>49.179976009479958</v>
      </c>
      <c r="F49" t="s">
        <v>14</v>
      </c>
      <c r="G49">
        <v>1.7165998127817097</v>
      </c>
    </row>
    <row r="50" spans="1:8" x14ac:dyDescent="0.3">
      <c r="A50" t="s">
        <v>70</v>
      </c>
      <c r="B50">
        <v>6.48</v>
      </c>
      <c r="F50" t="s">
        <v>217</v>
      </c>
      <c r="G50" t="s">
        <v>202</v>
      </c>
    </row>
    <row r="51" spans="1:8" x14ac:dyDescent="0.3">
      <c r="A51" t="s">
        <v>64</v>
      </c>
      <c r="B51"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17.8</v>
      </c>
      <c r="C52" t="s">
        <v>145</v>
      </c>
      <c r="D52" t="s">
        <v>155</v>
      </c>
      <c r="E52">
        <v>17.450574268420528</v>
      </c>
      <c r="F52" t="s">
        <v>217</v>
      </c>
      <c r="G52">
        <v>-1.9630659077498462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B54" s="7"/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171.04</v>
      </c>
      <c r="C55" t="s">
        <v>156</v>
      </c>
      <c r="D55" t="s">
        <v>157</v>
      </c>
      <c r="E55">
        <v>165.79993914214569</v>
      </c>
      <c r="F55" t="s">
        <v>33</v>
      </c>
      <c r="G55">
        <v>-3.0636464323282877</v>
      </c>
    </row>
    <row r="56" spans="1:8" x14ac:dyDescent="0.3">
      <c r="A56" t="s">
        <v>74</v>
      </c>
      <c r="B56">
        <v>44.96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43.37</v>
      </c>
      <c r="C57" t="s">
        <v>158</v>
      </c>
      <c r="D57" t="s">
        <v>159</v>
      </c>
      <c r="E57">
        <v>50.216884472470667</v>
      </c>
      <c r="F57" t="s">
        <v>14</v>
      </c>
      <c r="G57">
        <v>15.787144275929606</v>
      </c>
    </row>
    <row r="58" spans="1:8" x14ac:dyDescent="0.3">
      <c r="A58" t="s">
        <v>76</v>
      </c>
      <c r="B58">
        <v>44.15</v>
      </c>
      <c r="C58" t="s">
        <v>161</v>
      </c>
      <c r="D58" t="s">
        <v>160</v>
      </c>
      <c r="E58">
        <v>42.925234248393622</v>
      </c>
      <c r="F58" t="s">
        <v>14</v>
      </c>
      <c r="G58">
        <v>-2.7741013626418503</v>
      </c>
    </row>
    <row r="59" spans="1:8" x14ac:dyDescent="0.3">
      <c r="G59" t="s">
        <v>202</v>
      </c>
    </row>
    <row r="60" spans="1:8" x14ac:dyDescent="0.3">
      <c r="A60" s="6" t="s">
        <v>26</v>
      </c>
      <c r="B60" s="7"/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116.73</v>
      </c>
      <c r="C61" t="s">
        <v>162</v>
      </c>
      <c r="D61" t="s">
        <v>169</v>
      </c>
      <c r="E61">
        <v>110.43461798374955</v>
      </c>
      <c r="F61" t="s">
        <v>14</v>
      </c>
      <c r="G61">
        <v>-5.3931140377370488</v>
      </c>
    </row>
    <row r="62" spans="1:8" x14ac:dyDescent="0.3">
      <c r="A62" t="s">
        <v>85</v>
      </c>
      <c r="B62">
        <v>109.2</v>
      </c>
      <c r="C62" t="s">
        <v>163</v>
      </c>
      <c r="D62" t="s">
        <v>170</v>
      </c>
      <c r="E62">
        <v>107.52152359815233</v>
      </c>
      <c r="F62" t="s">
        <v>14</v>
      </c>
      <c r="G62">
        <v>-1.5370663020583104</v>
      </c>
    </row>
    <row r="63" spans="1:8" x14ac:dyDescent="0.3">
      <c r="A63" t="s">
        <v>86</v>
      </c>
      <c r="B63">
        <v>106.76</v>
      </c>
      <c r="C63" t="s">
        <v>164</v>
      </c>
      <c r="D63" t="s">
        <v>171</v>
      </c>
      <c r="E63">
        <v>105.74950836590375</v>
      </c>
      <c r="F63" t="s">
        <v>14</v>
      </c>
      <c r="G63">
        <v>-0.9465077127166116</v>
      </c>
    </row>
    <row r="64" spans="1:8" x14ac:dyDescent="0.3">
      <c r="A64" t="s">
        <v>87</v>
      </c>
      <c r="B64">
        <v>106.59</v>
      </c>
      <c r="C64" t="s">
        <v>165</v>
      </c>
      <c r="D64" t="s">
        <v>172</v>
      </c>
      <c r="E64">
        <v>104.89105453898594</v>
      </c>
      <c r="F64" t="s">
        <v>14</v>
      </c>
      <c r="G64">
        <v>-1.5939069903499978</v>
      </c>
    </row>
    <row r="65" spans="1:8" x14ac:dyDescent="0.3">
      <c r="A65" t="s">
        <v>88</v>
      </c>
      <c r="B65">
        <v>107.02</v>
      </c>
      <c r="C65" t="s">
        <v>166</v>
      </c>
      <c r="D65" t="s">
        <v>173</v>
      </c>
      <c r="E65">
        <v>104.54081877660229</v>
      </c>
      <c r="F65" t="s">
        <v>14</v>
      </c>
      <c r="G65">
        <v>-2.3165587959238487</v>
      </c>
    </row>
    <row r="66" spans="1:8" x14ac:dyDescent="0.3">
      <c r="A66" t="s">
        <v>79</v>
      </c>
      <c r="B66">
        <v>107.81</v>
      </c>
      <c r="C66" t="s">
        <v>227</v>
      </c>
      <c r="D66" t="s">
        <v>228</v>
      </c>
      <c r="E66">
        <v>104.31040592957277</v>
      </c>
      <c r="F66" t="s">
        <v>14</v>
      </c>
      <c r="G66">
        <v>-3.2460755685254017</v>
      </c>
    </row>
    <row r="67" spans="1:8" x14ac:dyDescent="0.3">
      <c r="A67" t="s">
        <v>81</v>
      </c>
      <c r="B67">
        <v>112.66</v>
      </c>
      <c r="C67" t="s">
        <v>167</v>
      </c>
      <c r="D67" t="s">
        <v>174</v>
      </c>
      <c r="E67">
        <v>111.67043219031882</v>
      </c>
      <c r="F67" t="s">
        <v>14</v>
      </c>
      <c r="G67">
        <v>-0.87836659833230646</v>
      </c>
    </row>
    <row r="68" spans="1:8" x14ac:dyDescent="0.3">
      <c r="A68" t="s">
        <v>82</v>
      </c>
      <c r="B68">
        <v>105.46</v>
      </c>
      <c r="C68" t="s">
        <v>168</v>
      </c>
      <c r="D68" t="s">
        <v>175</v>
      </c>
      <c r="E68">
        <v>104.40611647412294</v>
      </c>
      <c r="F68" t="s">
        <v>14</v>
      </c>
      <c r="G68">
        <v>-0.99932062002375754</v>
      </c>
    </row>
    <row r="69" spans="1:8" x14ac:dyDescent="0.3">
      <c r="G69" t="s">
        <v>202</v>
      </c>
    </row>
    <row r="70" spans="1:8" x14ac:dyDescent="0.3">
      <c r="A70" s="8" t="s">
        <v>27</v>
      </c>
      <c r="B70" s="7"/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2.91</v>
      </c>
      <c r="C71" t="s">
        <v>176</v>
      </c>
      <c r="D71" t="s">
        <v>181</v>
      </c>
      <c r="E71">
        <v>3.886706980477376</v>
      </c>
      <c r="F71" t="s">
        <v>33</v>
      </c>
      <c r="G71">
        <v>33.563813762109127</v>
      </c>
      <c r="H71" t="s">
        <v>245</v>
      </c>
    </row>
    <row r="72" spans="1:8" x14ac:dyDescent="0.3">
      <c r="A72" t="s">
        <v>63</v>
      </c>
      <c r="B72">
        <v>6.82</v>
      </c>
      <c r="C72" t="s">
        <v>177</v>
      </c>
      <c r="D72" t="s">
        <v>182</v>
      </c>
      <c r="E72">
        <v>6.7999992527373765</v>
      </c>
      <c r="F72" t="s">
        <v>41</v>
      </c>
      <c r="G72">
        <v>-0.29326608889477707</v>
      </c>
    </row>
    <row r="73" spans="1:8" x14ac:dyDescent="0.3">
      <c r="A73" t="s">
        <v>65</v>
      </c>
      <c r="B73">
        <v>54.03</v>
      </c>
      <c r="C73" t="s">
        <v>226</v>
      </c>
      <c r="D73" t="s">
        <v>225</v>
      </c>
      <c r="E73">
        <v>53.669265792258308</v>
      </c>
      <c r="F73" t="s">
        <v>217</v>
      </c>
      <c r="G73">
        <v>-0.66765539097111426</v>
      </c>
    </row>
    <row r="74" spans="1:8" x14ac:dyDescent="0.3">
      <c r="A74" t="s">
        <v>68</v>
      </c>
      <c r="B74">
        <v>0.9</v>
      </c>
      <c r="C74" t="s">
        <v>178</v>
      </c>
      <c r="D74" t="s">
        <v>183</v>
      </c>
      <c r="E74">
        <v>0.89996718503835604</v>
      </c>
      <c r="F74" t="s">
        <v>51</v>
      </c>
      <c r="G74">
        <v>-3.6461068493309767E-3</v>
      </c>
    </row>
    <row r="75" spans="1:8" x14ac:dyDescent="0.3">
      <c r="A75" t="s">
        <v>80</v>
      </c>
      <c r="B75">
        <v>15.7</v>
      </c>
      <c r="C75" t="s">
        <v>179</v>
      </c>
      <c r="D75" t="s">
        <v>184</v>
      </c>
      <c r="E75">
        <v>18.107182447587377</v>
      </c>
      <c r="F75" t="s">
        <v>14</v>
      </c>
      <c r="G75">
        <v>15.332372277626609</v>
      </c>
    </row>
    <row r="76" spans="1:8" x14ac:dyDescent="0.3">
      <c r="A76" t="s">
        <v>206</v>
      </c>
      <c r="B76">
        <v>117.57</v>
      </c>
      <c r="C76" t="s">
        <v>180</v>
      </c>
      <c r="D76" t="s">
        <v>185</v>
      </c>
      <c r="E76">
        <v>115.79093386812781</v>
      </c>
      <c r="F76" t="s">
        <v>14</v>
      </c>
      <c r="G76">
        <v>-1.5131973563597727</v>
      </c>
    </row>
    <row r="77" spans="1:8" x14ac:dyDescent="0.3">
      <c r="G77" t="s">
        <v>202</v>
      </c>
    </row>
    <row r="78" spans="1:8" x14ac:dyDescent="0.3">
      <c r="A78" s="6" t="s">
        <v>28</v>
      </c>
      <c r="B78" s="7"/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4.41</v>
      </c>
      <c r="C79" t="s">
        <v>186</v>
      </c>
      <c r="D79" t="s">
        <v>187</v>
      </c>
      <c r="E79">
        <v>5.6841391493072813</v>
      </c>
      <c r="F79" t="s">
        <v>33</v>
      </c>
      <c r="G79">
        <v>28.892044201979164</v>
      </c>
      <c r="H79" t="s">
        <v>246</v>
      </c>
    </row>
    <row r="80" spans="1:8" x14ac:dyDescent="0.3">
      <c r="A80" t="s">
        <v>69</v>
      </c>
      <c r="B80">
        <v>0.89</v>
      </c>
      <c r="C80" t="s">
        <v>223</v>
      </c>
      <c r="D80" t="s">
        <v>224</v>
      </c>
      <c r="E80">
        <v>0.89693152697301548</v>
      </c>
      <c r="F80" t="s">
        <v>51</v>
      </c>
      <c r="G80">
        <v>0.77882325539499631</v>
      </c>
    </row>
    <row r="81" spans="1:8" x14ac:dyDescent="0.3">
      <c r="G81" t="s">
        <v>202</v>
      </c>
    </row>
    <row r="82" spans="1:8" x14ac:dyDescent="0.3">
      <c r="A82" s="6" t="s">
        <v>99</v>
      </c>
      <c r="B82" s="7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48.25</v>
      </c>
      <c r="C83" t="s">
        <v>188</v>
      </c>
      <c r="D83" t="s">
        <v>191</v>
      </c>
      <c r="E83">
        <v>43.928719243128057</v>
      </c>
      <c r="F83" t="s">
        <v>14</v>
      </c>
      <c r="G83">
        <v>-8.9560222940351135</v>
      </c>
    </row>
    <row r="84" spans="1:8" x14ac:dyDescent="0.3">
      <c r="A84" t="s">
        <v>135</v>
      </c>
      <c r="C84" t="s">
        <v>189</v>
      </c>
      <c r="D84" t="s">
        <v>192</v>
      </c>
      <c r="E84">
        <v>115.79093386812781</v>
      </c>
      <c r="F84" t="s">
        <v>14</v>
      </c>
      <c r="G84" t="e">
        <v>#DIV/0!</v>
      </c>
      <c r="H84" t="s">
        <v>136</v>
      </c>
    </row>
    <row r="85" spans="1:8" x14ac:dyDescent="0.3">
      <c r="A85" t="s">
        <v>78</v>
      </c>
      <c r="B85">
        <v>109.87</v>
      </c>
      <c r="C85" t="s">
        <v>190</v>
      </c>
      <c r="D85" t="s">
        <v>193</v>
      </c>
      <c r="E85">
        <v>109.41850672148752</v>
      </c>
      <c r="F85" t="s">
        <v>14</v>
      </c>
      <c r="G85">
        <v>-0.41093408438380541</v>
      </c>
    </row>
    <row r="86" spans="1:8" x14ac:dyDescent="0.3">
      <c r="G86" t="s">
        <v>202</v>
      </c>
    </row>
    <row r="87" spans="1:8" x14ac:dyDescent="0.3">
      <c r="A87" s="6" t="s">
        <v>100</v>
      </c>
      <c r="B87" s="7"/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30.65</v>
      </c>
      <c r="C88" t="s">
        <v>194</v>
      </c>
      <c r="D88" t="s">
        <v>196</v>
      </c>
      <c r="E88">
        <v>30.650136032038176</v>
      </c>
      <c r="F88" t="s">
        <v>14</v>
      </c>
      <c r="G88">
        <v>4.4382394185253643E-4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B90" s="7"/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18.079999999999998</v>
      </c>
      <c r="C91" t="s">
        <v>195</v>
      </c>
      <c r="D91" t="s">
        <v>197</v>
      </c>
      <c r="E91">
        <v>18.077537565411887</v>
      </c>
      <c r="F91" t="s">
        <v>14</v>
      </c>
      <c r="G91">
        <v>-1.3619660332471216E-2</v>
      </c>
    </row>
    <row r="92" spans="1:8" x14ac:dyDescent="0.3">
      <c r="G92" t="s">
        <v>202</v>
      </c>
    </row>
    <row r="93" spans="1:8" x14ac:dyDescent="0.3">
      <c r="A93" s="6" t="s">
        <v>102</v>
      </c>
      <c r="B93" s="7"/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23.51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1.069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1.091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36.06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36.799999999999997</v>
      </c>
      <c r="E98" t="s">
        <v>241</v>
      </c>
      <c r="F98" t="s">
        <v>14</v>
      </c>
      <c r="G98" t="e">
        <v>#VALUE!</v>
      </c>
    </row>
    <row r="100" spans="1:8" x14ac:dyDescent="0.3">
      <c r="A100" s="6" t="s">
        <v>260</v>
      </c>
      <c r="B100" s="7"/>
      <c r="C100" s="7"/>
      <c r="D100" s="7"/>
      <c r="E100" s="7"/>
      <c r="F100" s="7"/>
      <c r="G100" s="7" t="s">
        <v>202</v>
      </c>
    </row>
    <row r="101" spans="1:8" x14ac:dyDescent="0.3">
      <c r="A101" t="s">
        <v>265</v>
      </c>
      <c r="B101">
        <v>0.42</v>
      </c>
      <c r="C101" t="s">
        <v>244</v>
      </c>
      <c r="D101" t="s">
        <v>243</v>
      </c>
      <c r="E101">
        <v>0.46108702903571563</v>
      </c>
      <c r="F101" t="s">
        <v>33</v>
      </c>
      <c r="G101">
        <v>9.7826259608846797</v>
      </c>
    </row>
    <row r="102" spans="1:8" x14ac:dyDescent="0.3">
      <c r="A102" t="s">
        <v>265</v>
      </c>
      <c r="B102">
        <v>0.3</v>
      </c>
      <c r="C102" t="s">
        <v>250</v>
      </c>
      <c r="D102" t="s">
        <v>251</v>
      </c>
      <c r="E102">
        <v>0.289742</v>
      </c>
      <c r="F102" t="s">
        <v>43</v>
      </c>
      <c r="G102">
        <v>-3.4193333333333298</v>
      </c>
      <c r="H102" t="s">
        <v>256</v>
      </c>
    </row>
    <row r="103" spans="1:8" x14ac:dyDescent="0.3">
      <c r="A103" t="s">
        <v>261</v>
      </c>
      <c r="B103">
        <v>91.76136363636364</v>
      </c>
      <c r="C103" t="s">
        <v>247</v>
      </c>
      <c r="D103" t="s">
        <v>252</v>
      </c>
      <c r="E103">
        <v>95.2</v>
      </c>
      <c r="F103" t="s">
        <v>229</v>
      </c>
      <c r="G103">
        <v>3.7473684210526303</v>
      </c>
      <c r="H103" t="s">
        <v>257</v>
      </c>
    </row>
    <row r="104" spans="1:8" x14ac:dyDescent="0.3">
      <c r="A104" t="s">
        <v>261</v>
      </c>
      <c r="B104">
        <v>5.5673469387755103</v>
      </c>
      <c r="C104" t="s">
        <v>248</v>
      </c>
      <c r="D104" t="s">
        <v>253</v>
      </c>
      <c r="E104">
        <v>4.3098400000000003</v>
      </c>
      <c r="F104" t="s">
        <v>255</v>
      </c>
      <c r="G104">
        <v>-22.587184750733133</v>
      </c>
      <c r="H104" t="s">
        <v>258</v>
      </c>
    </row>
    <row r="105" spans="1:8" x14ac:dyDescent="0.3">
      <c r="C105" t="s">
        <v>249</v>
      </c>
      <c r="D105" t="s">
        <v>254</v>
      </c>
      <c r="E105">
        <v>-5.3100000000000003E-5</v>
      </c>
      <c r="F105" t="s">
        <v>229</v>
      </c>
      <c r="H105" t="s">
        <v>259</v>
      </c>
    </row>
    <row r="124" spans="1:4" x14ac:dyDescent="0.3">
      <c r="A124" s="3"/>
    </row>
    <row r="125" spans="1:4" x14ac:dyDescent="0.3">
      <c r="C125" s="10"/>
      <c r="D125" s="10"/>
    </row>
    <row r="129" spans="1:4" x14ac:dyDescent="0.3">
      <c r="A129" s="3"/>
    </row>
    <row r="135" spans="1:4" x14ac:dyDescent="0.3">
      <c r="A135" s="1"/>
      <c r="C135" s="1"/>
      <c r="D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</sheetData>
  <conditionalFormatting sqref="G13:G98 H71 H79">
    <cfRule type="expression" dxfId="74" priority="7">
      <formula>ABS(G13)&gt;10</formula>
    </cfRule>
    <cfRule type="expression" dxfId="73" priority="8">
      <formula>AND(ABS(G13)&gt;=5,ABS(G13)&lt;10)</formula>
    </cfRule>
    <cfRule type="expression" dxfId="72" priority="9">
      <formula>ABS(G13)&lt;5</formula>
    </cfRule>
  </conditionalFormatting>
  <conditionalFormatting sqref="G100:G105">
    <cfRule type="expression" dxfId="71" priority="1">
      <formula>ABS(G100)&gt;10</formula>
    </cfRule>
    <cfRule type="expression" dxfId="70" priority="2">
      <formula>AND(ABS(G100)&gt;=5,ABS(G100)&lt;10)</formula>
    </cfRule>
    <cfRule type="expression" dxfId="69" priority="3">
      <formula>ABS(G100)&lt;5</formula>
    </cfRule>
  </conditionalFormatting>
  <conditionalFormatting sqref="H102:H105">
    <cfRule type="expression" dxfId="68" priority="4">
      <formula>ABS(H102)&gt;10</formula>
    </cfRule>
    <cfRule type="expression" dxfId="67" priority="5">
      <formula>AND(ABS(H102)&gt;=5,ABS(H102)&lt;10)</formula>
    </cfRule>
    <cfRule type="expression" dxfId="66" priority="6">
      <formula>ABS(H102)&lt;5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BBF3-6069-4B96-B0DB-4CD295CC15CA}">
  <dimension ref="A1:J138"/>
  <sheetViews>
    <sheetView topLeftCell="A70" zoomScale="55" zoomScaleNormal="55" workbookViewId="0">
      <selection activeCell="G104" sqref="G104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2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A'!D:D),"")</f>
        <v>90.09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3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A'!D:D),"")</f>
        <v>172.33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A'!D:D),"")</f>
        <v>58.31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A'!D:D),"")</f>
        <v>58.31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A'!D:D),"")</f>
        <v>9.23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A'!D:D),"")</f>
        <v>49.24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0.26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A'!D:D),"")</f>
        <v>1002.74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A'!D:D),"")</f>
        <v>0.9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A'!D:D),"")</f>
        <v>30.64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A'!D:D),"")</f>
        <v>25.01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A'!D:D),"")</f>
        <v>90.09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A'!D:D),"")</f>
        <v>1010.37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A'!D:D),"")</f>
        <v>50.54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A'!D:D),"")</f>
        <v>172.33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A'!D:D),"")</f>
        <v>58.31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A'!D:D),"")</f>
        <v>58.31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A'!D:D),"")</f>
        <v>6.77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A'!D:D),"")</f>
        <v>1.19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A'!D:D),"")</f>
        <v>1002.74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A'!D:D),"")</f>
        <v>1005.78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A'!D:D),"")</f>
        <v>49.24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A'!D:D),"")</f>
        <v>51.61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A'!D:D),"")</f>
        <v>52.68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A'!D:D),"")</f>
        <v>53.57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A'!D:D),"")</f>
        <v>54.13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A'!D:D),"")</f>
        <v>55.1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A'!D:D),"")</f>
        <v>60.1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A'!D:D),"")</f>
        <v>64.31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A'!D:D),"")</f>
        <v>65.03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A'!D:D),"")</f>
        <v>57.02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A'!D:D),"")</f>
        <v>6.89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A'!D:D),"")</f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18.21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A'!D:D),"")</f>
        <v>179.79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A'!D:D),"")</f>
        <v>51.39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A'!D:D),"")</f>
        <v>51.32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A'!D:D),"")</f>
        <v>50.31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A'!D:D),"")</f>
        <v>118.69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A'!D:D),"")</f>
        <v>108.2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A'!D:D),"")</f>
        <v>104.84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A'!D:D),"")</f>
        <v>104.87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A'!D:D),"")</f>
        <v>105.07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A'!D:D),"")</f>
        <v>105.5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A'!D:D),"")</f>
        <v>115.45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A'!D:D),"")</f>
        <v>103.77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A'!D:D),"")</f>
        <v>4.16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A'!D:D),"")</f>
        <v>9.23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A'!D:D),"")</f>
        <v>53.31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A'!D:D),"")</f>
        <v>0.9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A'!D:D),"")</f>
        <v>20.81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A'!D:D),"")</f>
        <v>118.79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A'!D:D),"")</f>
        <v>7.71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A'!D:D),"")</f>
        <v>0.88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A'!D:D),"")</f>
        <v>52.63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A'!D:D),"")</f>
        <v>109.15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A'!D:D),"")</f>
        <v>30.64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A'!D:D),"")</f>
        <v>25.01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A'!D:D),"")</f>
        <v>23.21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A'!D:D),"")</f>
        <v>1.0649999999999999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A'!D:D),"")</f>
        <v>1.097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A'!D:D),"")</f>
        <v>35.92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A'!D:D),"")</f>
        <v>36.630000000000003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8" x14ac:dyDescent="0.3">
      <c r="B99" s="9"/>
    </row>
    <row r="100" spans="1:8" x14ac:dyDescent="0.3">
      <c r="A100" s="6" t="s">
        <v>260</v>
      </c>
      <c r="B100" s="7"/>
      <c r="C100" s="7"/>
      <c r="D100" s="7"/>
      <c r="E100" s="7"/>
      <c r="F100" s="7"/>
      <c r="G100" s="7" t="s">
        <v>202</v>
      </c>
    </row>
    <row r="101" spans="1:8" x14ac:dyDescent="0.3">
      <c r="A101" t="s">
        <v>265</v>
      </c>
      <c r="B101">
        <v>0.45</v>
      </c>
      <c r="C101" t="s">
        <v>244</v>
      </c>
      <c r="D101" t="s">
        <v>243</v>
      </c>
      <c r="E101" t="e" cm="1">
        <f t="array" ref="E101">_xll.ReadKSpice(_xlfn.CONCAT("/",$B$1,"/",$B$2,"/",D101,"@V_Unit=",F101))</f>
        <v>#N/A</v>
      </c>
      <c r="F101" t="s">
        <v>33</v>
      </c>
      <c r="G101" t="e">
        <f>100*(E101-B101)/B101</f>
        <v>#N/A</v>
      </c>
    </row>
    <row r="102" spans="1:8" x14ac:dyDescent="0.3">
      <c r="A102" t="s">
        <v>265</v>
      </c>
      <c r="B102">
        <v>0.26</v>
      </c>
      <c r="C102" t="s">
        <v>250</v>
      </c>
      <c r="D102" t="s">
        <v>251</v>
      </c>
      <c r="E102" t="e" cm="1">
        <f t="array" ref="E102">_xll.ReadKSpice(_xlfn.CONCAT("/",$B$1,"/",$B$2,"/",D102,"@V_Unit=",F102))</f>
        <v>#N/A</v>
      </c>
      <c r="F102" t="s">
        <v>43</v>
      </c>
      <c r="G102" t="e">
        <f t="shared" ref="G102:G105" si="5">100*(E102-B102)/B102</f>
        <v>#N/A</v>
      </c>
      <c r="H102" t="s">
        <v>256</v>
      </c>
    </row>
    <row r="103" spans="1:8" x14ac:dyDescent="0.3">
      <c r="A103" t="s">
        <v>261</v>
      </c>
      <c r="B103">
        <f>((B34-B37)/B34)*100</f>
        <v>82.422451994091588</v>
      </c>
      <c r="C103" t="s">
        <v>247</v>
      </c>
      <c r="D103" t="s">
        <v>252</v>
      </c>
      <c r="E103" t="e" cm="1">
        <f t="array" ref="E103">_xll.ReadKSpice(_xlfn.CONCAT("/",$B$1,"/",$B$2,"/",D103,"@V_Unit=",F103))</f>
        <v>#N/A</v>
      </c>
      <c r="F103" t="s">
        <v>229</v>
      </c>
      <c r="G103" t="e">
        <f t="shared" si="5"/>
        <v>#N/A</v>
      </c>
      <c r="H103" t="s">
        <v>257</v>
      </c>
    </row>
    <row r="104" spans="1:8" x14ac:dyDescent="0.3">
      <c r="A104" t="s">
        <v>261</v>
      </c>
      <c r="B104">
        <f>(3.6*B17)/B79</f>
        <v>4.3097276264591438</v>
      </c>
      <c r="C104" t="s">
        <v>248</v>
      </c>
      <c r="D104" t="s">
        <v>253</v>
      </c>
      <c r="E104" t="e" cm="1">
        <f t="array" ref="E104">_xll.ReadKSpice(_xlfn.CONCAT("/",$B$1,"/",$B$2,"/",D104,"@V_Unit=",F104))</f>
        <v>#N/A</v>
      </c>
      <c r="F104" t="s">
        <v>255</v>
      </c>
      <c r="G104" t="e">
        <f t="shared" si="5"/>
        <v>#N/A</v>
      </c>
      <c r="H104" t="s">
        <v>258</v>
      </c>
    </row>
    <row r="105" spans="1:8" x14ac:dyDescent="0.3">
      <c r="C105" t="s">
        <v>249</v>
      </c>
      <c r="D105" t="s">
        <v>254</v>
      </c>
      <c r="E105" t="e" cm="1">
        <f t="array" ref="E105">_xll.ReadKSpice(_xlfn.CONCAT("/",$B$1,"/",$B$2,"/",D105,"@V_Unit=",F105))</f>
        <v>#N/A</v>
      </c>
      <c r="F105" t="s">
        <v>229</v>
      </c>
      <c r="G105" t="e">
        <f t="shared" si="5"/>
        <v>#N/A</v>
      </c>
      <c r="H105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98">
    <cfRule type="expression" dxfId="65" priority="13">
      <formula>ABS(G13)&gt;10</formula>
    </cfRule>
    <cfRule type="expression" dxfId="64" priority="14">
      <formula>AND(ABS(G13)&gt;=5,ABS(G13)&lt;10)</formula>
    </cfRule>
    <cfRule type="expression" dxfId="63" priority="15">
      <formula>ABS(G13)&lt;5</formula>
    </cfRule>
  </conditionalFormatting>
  <conditionalFormatting sqref="G100:G105">
    <cfRule type="expression" dxfId="62" priority="1">
      <formula>ABS(G100)&gt;10</formula>
    </cfRule>
    <cfRule type="expression" dxfId="61" priority="2">
      <formula>AND(ABS(G100)&gt;=5,ABS(G100)&lt;10)</formula>
    </cfRule>
    <cfRule type="expression" dxfId="60" priority="3">
      <formula>ABS(G100)&lt;5</formula>
    </cfRule>
  </conditionalFormatting>
  <conditionalFormatting sqref="H102:H105">
    <cfRule type="expression" dxfId="59" priority="4">
      <formula>ABS(H102)&gt;10</formula>
    </cfRule>
    <cfRule type="expression" dxfId="58" priority="5">
      <formula>AND(ABS(H102)&gt;=5,ABS(H102)&lt;10)</formula>
    </cfRule>
    <cfRule type="expression" dxfId="57" priority="6">
      <formula>ABS(H102)&lt;5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5C1A-B4B0-4FED-AE3E-DAD3F0D83167}">
  <dimension ref="A1:J142"/>
  <sheetViews>
    <sheetView topLeftCell="A76" zoomScale="70" zoomScaleNormal="70" workbookViewId="0">
      <selection activeCell="D110" sqref="D110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2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AVERAGE(ABS(G101:G104))</f>
        <v>8.2608676001108829</v>
      </c>
      <c r="J9" s="2"/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AVERAGE(ABS(G26:G31),ABS(G34),ABS(G37:G49),ABS(G52),ABS(G55),ABS(G57:G58),ABS(G61:G68),ABS(G71:G76),ABS(G79),ABS(G80),ABS(G83),ABS(G85),ABS(G88),ABS(G91),ABS(G101:G103))</f>
        <v>9.0133988644822587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90.09</v>
      </c>
      <c r="C13" t="s">
        <v>30</v>
      </c>
      <c r="D13" t="s">
        <v>111</v>
      </c>
      <c r="E13">
        <v>90.09</v>
      </c>
      <c r="F13" t="s">
        <v>31</v>
      </c>
      <c r="G13">
        <v>0</v>
      </c>
      <c r="H13" t="s">
        <v>35</v>
      </c>
    </row>
    <row r="14" spans="1:10" x14ac:dyDescent="0.3">
      <c r="A14" t="s">
        <v>58</v>
      </c>
      <c r="B14">
        <v>172.33</v>
      </c>
      <c r="C14" t="s">
        <v>32</v>
      </c>
      <c r="D14" t="s">
        <v>112</v>
      </c>
      <c r="E14">
        <v>172.3</v>
      </c>
      <c r="F14" t="s">
        <v>33</v>
      </c>
      <c r="G14">
        <v>-1.7408460511809398E-2</v>
      </c>
      <c r="H14" t="s">
        <v>36</v>
      </c>
    </row>
    <row r="15" spans="1:10" x14ac:dyDescent="0.3">
      <c r="A15" t="s">
        <v>25</v>
      </c>
      <c r="B15">
        <v>58.31</v>
      </c>
      <c r="C15" t="s">
        <v>107</v>
      </c>
      <c r="D15" t="s">
        <v>113</v>
      </c>
      <c r="E15">
        <v>58.31</v>
      </c>
      <c r="F15" t="s">
        <v>14</v>
      </c>
      <c r="G15">
        <v>0</v>
      </c>
      <c r="H15" t="s">
        <v>37</v>
      </c>
    </row>
    <row r="16" spans="1:10" x14ac:dyDescent="0.3">
      <c r="A16" t="s">
        <v>25</v>
      </c>
      <c r="B16">
        <v>58.31</v>
      </c>
      <c r="C16" t="s">
        <v>38</v>
      </c>
      <c r="D16" t="s">
        <v>220</v>
      </c>
      <c r="E16">
        <v>58.31</v>
      </c>
      <c r="F16" t="s">
        <v>14</v>
      </c>
      <c r="G16">
        <v>0</v>
      </c>
      <c r="H16" t="s">
        <v>108</v>
      </c>
    </row>
    <row r="17" spans="1:8" x14ac:dyDescent="0.3">
      <c r="A17" t="s">
        <v>63</v>
      </c>
      <c r="B17">
        <v>9.23</v>
      </c>
      <c r="C17" t="s">
        <v>40</v>
      </c>
      <c r="D17" t="s">
        <v>219</v>
      </c>
      <c r="E17">
        <v>9.2000000000000011</v>
      </c>
      <c r="F17" t="s">
        <v>41</v>
      </c>
      <c r="G17">
        <v>-0.32502708559045895</v>
      </c>
      <c r="H17" t="s">
        <v>39</v>
      </c>
    </row>
    <row r="18" spans="1:8" x14ac:dyDescent="0.3">
      <c r="A18" t="s">
        <v>16</v>
      </c>
      <c r="B18">
        <v>49.24</v>
      </c>
      <c r="C18" t="s">
        <v>231</v>
      </c>
      <c r="D18" t="s">
        <v>232</v>
      </c>
      <c r="E18">
        <v>49.240000000000009</v>
      </c>
      <c r="F18" t="s">
        <v>14</v>
      </c>
      <c r="G18">
        <v>1.4430193658816006E-14</v>
      </c>
      <c r="H18" t="s">
        <v>42</v>
      </c>
    </row>
    <row r="19" spans="1:8" x14ac:dyDescent="0.3">
      <c r="B19">
        <v>0.26</v>
      </c>
      <c r="C19" t="s">
        <v>105</v>
      </c>
      <c r="D19" t="s">
        <v>114</v>
      </c>
      <c r="E19">
        <v>0.25998230672780737</v>
      </c>
      <c r="F19" t="s">
        <v>43</v>
      </c>
      <c r="G19">
        <v>-6.8051046894779255E-3</v>
      </c>
      <c r="H19" t="s">
        <v>44</v>
      </c>
    </row>
    <row r="20" spans="1:8" x14ac:dyDescent="0.3">
      <c r="A20" t="s">
        <v>47</v>
      </c>
      <c r="B20">
        <v>1002.74</v>
      </c>
      <c r="C20" t="s">
        <v>46</v>
      </c>
      <c r="D20" t="s">
        <v>115</v>
      </c>
      <c r="E20">
        <v>1002.74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0.9</v>
      </c>
      <c r="C21" t="s">
        <v>49</v>
      </c>
      <c r="D21" t="s">
        <v>116</v>
      </c>
      <c r="E21">
        <v>0.90000000000000013</v>
      </c>
      <c r="F21" t="s">
        <v>51</v>
      </c>
      <c r="G21">
        <v>1.2335811384723962E-14</v>
      </c>
      <c r="H21" t="s">
        <v>48</v>
      </c>
    </row>
    <row r="22" spans="1:8" x14ac:dyDescent="0.3">
      <c r="A22" t="s">
        <v>89</v>
      </c>
      <c r="B22">
        <v>30.64</v>
      </c>
      <c r="C22" t="s">
        <v>53</v>
      </c>
      <c r="D22" t="s">
        <v>117</v>
      </c>
      <c r="E22">
        <v>30.639999999999986</v>
      </c>
      <c r="F22" t="s">
        <v>14</v>
      </c>
      <c r="G22">
        <v>-4.6380074135776776E-14</v>
      </c>
      <c r="H22" t="s">
        <v>52</v>
      </c>
    </row>
    <row r="23" spans="1:8" x14ac:dyDescent="0.3">
      <c r="A23" t="s">
        <v>90</v>
      </c>
      <c r="B23">
        <v>25.01</v>
      </c>
      <c r="C23" t="s">
        <v>55</v>
      </c>
      <c r="D23" t="s">
        <v>118</v>
      </c>
      <c r="E23">
        <v>25.009999999999991</v>
      </c>
      <c r="F23" t="s">
        <v>14</v>
      </c>
      <c r="G23">
        <v>-4.2615517938430635E-14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90.09</v>
      </c>
      <c r="C26" t="s">
        <v>12</v>
      </c>
      <c r="D26" t="s">
        <v>119</v>
      </c>
      <c r="E26">
        <v>90.089999998457884</v>
      </c>
      <c r="F26" t="s">
        <v>31</v>
      </c>
      <c r="G26">
        <v>-1.7117541582079874E-9</v>
      </c>
    </row>
    <row r="27" spans="1:8" x14ac:dyDescent="0.3">
      <c r="A27" t="s">
        <v>67</v>
      </c>
      <c r="B27">
        <v>1010.37</v>
      </c>
      <c r="C27" t="s">
        <v>235</v>
      </c>
      <c r="D27" t="s">
        <v>236</v>
      </c>
      <c r="E27">
        <v>1016.5624508739019</v>
      </c>
      <c r="F27" t="s">
        <v>218</v>
      </c>
      <c r="G27">
        <v>0.61288942406265645</v>
      </c>
    </row>
    <row r="28" spans="1:8" x14ac:dyDescent="0.3">
      <c r="A28" t="s">
        <v>13</v>
      </c>
      <c r="B28">
        <v>50.54</v>
      </c>
      <c r="C28" t="s">
        <v>233</v>
      </c>
      <c r="D28" t="s">
        <v>234</v>
      </c>
      <c r="E28">
        <v>49.240000000014277</v>
      </c>
      <c r="F28" t="s">
        <v>14</v>
      </c>
      <c r="G28">
        <v>-2.5722200237153192</v>
      </c>
    </row>
    <row r="29" spans="1:8" x14ac:dyDescent="0.3">
      <c r="A29" t="s">
        <v>58</v>
      </c>
      <c r="B29">
        <v>172.33</v>
      </c>
      <c r="C29" t="s">
        <v>120</v>
      </c>
      <c r="D29" t="s">
        <v>121</v>
      </c>
      <c r="E29">
        <v>172.30000000319376</v>
      </c>
      <c r="F29" t="s">
        <v>33</v>
      </c>
      <c r="G29">
        <v>-1.7408458658535162E-2</v>
      </c>
    </row>
    <row r="30" spans="1:8" x14ac:dyDescent="0.3">
      <c r="A30" t="s">
        <v>25</v>
      </c>
      <c r="B30">
        <v>58.31</v>
      </c>
      <c r="C30" t="s">
        <v>109</v>
      </c>
      <c r="D30" t="s">
        <v>110</v>
      </c>
      <c r="E30">
        <v>58.315151576076232</v>
      </c>
      <c r="F30" t="s">
        <v>14</v>
      </c>
      <c r="G30">
        <v>8.8348071964156373E-3</v>
      </c>
      <c r="H30" t="s">
        <v>37</v>
      </c>
    </row>
    <row r="31" spans="1:8" x14ac:dyDescent="0.3">
      <c r="A31" t="s">
        <v>25</v>
      </c>
      <c r="B31">
        <v>58.31</v>
      </c>
      <c r="C31" t="s">
        <v>221</v>
      </c>
      <c r="D31" t="s">
        <v>222</v>
      </c>
      <c r="E31">
        <v>36.510768082202503</v>
      </c>
      <c r="F31" t="s">
        <v>14</v>
      </c>
      <c r="G31">
        <v>-37.385065885435594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6.77</v>
      </c>
      <c r="C34" t="s">
        <v>122</v>
      </c>
      <c r="D34" t="s">
        <v>123</v>
      </c>
      <c r="E34">
        <v>7.07</v>
      </c>
      <c r="F34" t="s">
        <v>229</v>
      </c>
      <c r="G34">
        <v>4.4313146233382676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0.86044665089620775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0.15441535249392402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1.19</v>
      </c>
      <c r="C37" t="s">
        <v>128</v>
      </c>
      <c r="E37">
        <v>1.0148620033901317</v>
      </c>
      <c r="F37" t="s">
        <v>229</v>
      </c>
      <c r="G37">
        <v>-14.717478706711621</v>
      </c>
      <c r="H37" t="s">
        <v>230</v>
      </c>
    </row>
    <row r="38" spans="1:8" x14ac:dyDescent="0.3">
      <c r="A38" t="s">
        <v>47</v>
      </c>
      <c r="B38">
        <v>1002.74</v>
      </c>
      <c r="C38" t="s">
        <v>131</v>
      </c>
      <c r="D38" t="s">
        <v>133</v>
      </c>
      <c r="E38">
        <v>1013.6798541028335</v>
      </c>
      <c r="F38" t="s">
        <v>218</v>
      </c>
      <c r="G38">
        <v>1.0909960810213479</v>
      </c>
    </row>
    <row r="39" spans="1:8" x14ac:dyDescent="0.3">
      <c r="A39" t="s">
        <v>66</v>
      </c>
      <c r="B39">
        <v>1005.78</v>
      </c>
      <c r="C39" t="s">
        <v>132</v>
      </c>
      <c r="D39" t="s">
        <v>134</v>
      </c>
      <c r="E39">
        <v>1016.3788321509986</v>
      </c>
      <c r="F39" t="s">
        <v>218</v>
      </c>
      <c r="G39">
        <v>1.0537922956311168</v>
      </c>
    </row>
    <row r="40" spans="1:8" x14ac:dyDescent="0.3">
      <c r="A40" t="s">
        <v>16</v>
      </c>
      <c r="B40">
        <v>49.24</v>
      </c>
      <c r="C40" t="s">
        <v>233</v>
      </c>
      <c r="D40" t="s">
        <v>234</v>
      </c>
      <c r="E40">
        <v>49.240000000014277</v>
      </c>
      <c r="F40" t="s">
        <v>14</v>
      </c>
      <c r="G40">
        <v>2.8990259060561356E-11</v>
      </c>
      <c r="H40" t="s">
        <v>237</v>
      </c>
    </row>
    <row r="41" spans="1:8" x14ac:dyDescent="0.3">
      <c r="A41" t="s">
        <v>73</v>
      </c>
      <c r="B41">
        <v>51.61</v>
      </c>
      <c r="C41" t="s">
        <v>137</v>
      </c>
      <c r="D41" t="s">
        <v>146</v>
      </c>
      <c r="E41">
        <v>36.207834257906484</v>
      </c>
      <c r="F41" t="s">
        <v>14</v>
      </c>
      <c r="G41">
        <v>-29.843374815139541</v>
      </c>
    </row>
    <row r="42" spans="1:8" x14ac:dyDescent="0.3">
      <c r="A42" t="s">
        <v>17</v>
      </c>
      <c r="B42">
        <v>52.68</v>
      </c>
      <c r="C42" t="s">
        <v>18</v>
      </c>
      <c r="D42" t="s">
        <v>147</v>
      </c>
      <c r="E42">
        <v>36.180429191050052</v>
      </c>
      <c r="F42" t="s">
        <v>14</v>
      </c>
      <c r="G42">
        <v>-31.320369796791852</v>
      </c>
    </row>
    <row r="43" spans="1:8" x14ac:dyDescent="0.3">
      <c r="A43" t="s">
        <v>19</v>
      </c>
      <c r="B43">
        <v>53.57</v>
      </c>
      <c r="C43" t="s">
        <v>138</v>
      </c>
      <c r="D43" t="s">
        <v>148</v>
      </c>
      <c r="E43">
        <v>39.844703234249153</v>
      </c>
      <c r="F43" t="s">
        <v>14</v>
      </c>
      <c r="G43">
        <v>-25.621237195726803</v>
      </c>
    </row>
    <row r="44" spans="1:8" x14ac:dyDescent="0.3">
      <c r="A44" t="s">
        <v>20</v>
      </c>
      <c r="B44">
        <v>54.13</v>
      </c>
      <c r="C44" t="s">
        <v>139</v>
      </c>
      <c r="D44" t="s">
        <v>149</v>
      </c>
      <c r="E44">
        <v>42.65279375373774</v>
      </c>
      <c r="F44" t="s">
        <v>14</v>
      </c>
      <c r="G44">
        <v>-21.203041282583154</v>
      </c>
    </row>
    <row r="45" spans="1:8" x14ac:dyDescent="0.3">
      <c r="A45" t="s">
        <v>21</v>
      </c>
      <c r="B45">
        <v>55.1</v>
      </c>
      <c r="C45" t="s">
        <v>140</v>
      </c>
      <c r="D45" t="s">
        <v>150</v>
      </c>
      <c r="E45">
        <v>45.290017434215031</v>
      </c>
      <c r="F45" t="s">
        <v>14</v>
      </c>
      <c r="G45">
        <v>-17.803961099428257</v>
      </c>
    </row>
    <row r="46" spans="1:8" x14ac:dyDescent="0.3">
      <c r="A46" t="s">
        <v>22</v>
      </c>
      <c r="B46">
        <v>60.1</v>
      </c>
      <c r="C46" t="s">
        <v>141</v>
      </c>
      <c r="D46" t="s">
        <v>151</v>
      </c>
      <c r="E46">
        <v>48.146831216103976</v>
      </c>
      <c r="F46" t="s">
        <v>14</v>
      </c>
      <c r="G46">
        <v>-19.888799973204701</v>
      </c>
    </row>
    <row r="47" spans="1:8" x14ac:dyDescent="0.3">
      <c r="A47" t="s">
        <v>23</v>
      </c>
      <c r="B47">
        <v>64.31</v>
      </c>
      <c r="C47" t="s">
        <v>142</v>
      </c>
      <c r="D47" t="s">
        <v>152</v>
      </c>
      <c r="E47">
        <v>51.655360751805233</v>
      </c>
      <c r="F47" t="s">
        <v>14</v>
      </c>
      <c r="G47">
        <v>-19.677560640949725</v>
      </c>
    </row>
    <row r="48" spans="1:8" x14ac:dyDescent="0.3">
      <c r="A48" t="s">
        <v>24</v>
      </c>
      <c r="B48">
        <v>65.03</v>
      </c>
      <c r="C48" t="s">
        <v>143</v>
      </c>
      <c r="D48" t="s">
        <v>153</v>
      </c>
      <c r="E48">
        <v>56.396113306866653</v>
      </c>
      <c r="F48" t="s">
        <v>14</v>
      </c>
      <c r="G48">
        <v>-13.27677486257627</v>
      </c>
    </row>
    <row r="49" spans="1:8" x14ac:dyDescent="0.3">
      <c r="A49" t="s">
        <v>83</v>
      </c>
      <c r="B49">
        <v>57.02</v>
      </c>
      <c r="C49" t="s">
        <v>144</v>
      </c>
      <c r="D49" t="s">
        <v>154</v>
      </c>
      <c r="E49">
        <v>60.190782263865401</v>
      </c>
      <c r="F49" t="s">
        <v>14</v>
      </c>
      <c r="G49">
        <v>5.5608247349445765</v>
      </c>
    </row>
    <row r="50" spans="1:8" x14ac:dyDescent="0.3">
      <c r="A50" t="s">
        <v>70</v>
      </c>
      <c r="B50">
        <v>6.89</v>
      </c>
      <c r="F50" t="s">
        <v>217</v>
      </c>
      <c r="G50" t="s">
        <v>202</v>
      </c>
    </row>
    <row r="51" spans="1:8" x14ac:dyDescent="0.3">
      <c r="A51" t="s">
        <v>64</v>
      </c>
      <c r="B51"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18.21</v>
      </c>
      <c r="C52" t="s">
        <v>145</v>
      </c>
      <c r="D52" t="s">
        <v>155</v>
      </c>
      <c r="E52">
        <v>17.450562744902758</v>
      </c>
      <c r="F52" t="s">
        <v>217</v>
      </c>
      <c r="G52">
        <v>-4.1704407199189619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179.79</v>
      </c>
      <c r="C55" t="s">
        <v>156</v>
      </c>
      <c r="D55" t="s">
        <v>157</v>
      </c>
      <c r="E55">
        <v>166.97803801812995</v>
      </c>
      <c r="F55" t="s">
        <v>33</v>
      </c>
      <c r="G55">
        <v>-7.1260704054007684</v>
      </c>
    </row>
    <row r="56" spans="1:8" x14ac:dyDescent="0.3">
      <c r="A56" t="s">
        <v>74</v>
      </c>
      <c r="B56">
        <v>51.39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51.32</v>
      </c>
      <c r="C57" t="s">
        <v>158</v>
      </c>
      <c r="D57" t="s">
        <v>159</v>
      </c>
      <c r="E57">
        <v>62.87714207302372</v>
      </c>
      <c r="F57" t="s">
        <v>14</v>
      </c>
      <c r="G57">
        <v>22.519762418206781</v>
      </c>
    </row>
    <row r="58" spans="1:8" x14ac:dyDescent="0.3">
      <c r="A58" t="s">
        <v>76</v>
      </c>
      <c r="B58">
        <v>50.31</v>
      </c>
      <c r="C58" t="s">
        <v>161</v>
      </c>
      <c r="D58" t="s">
        <v>160</v>
      </c>
      <c r="E58">
        <v>36.247231650925016</v>
      </c>
      <c r="F58" t="s">
        <v>14</v>
      </c>
      <c r="G58">
        <v>-27.952232854452365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118.69</v>
      </c>
      <c r="C61" t="s">
        <v>162</v>
      </c>
      <c r="D61" t="s">
        <v>169</v>
      </c>
      <c r="E61">
        <v>111.76610840071572</v>
      </c>
      <c r="F61" t="s">
        <v>14</v>
      </c>
      <c r="G61">
        <v>-5.8335930569418446</v>
      </c>
    </row>
    <row r="62" spans="1:8" x14ac:dyDescent="0.3">
      <c r="A62" t="s">
        <v>85</v>
      </c>
      <c r="B62">
        <v>108.2</v>
      </c>
      <c r="C62" t="s">
        <v>163</v>
      </c>
      <c r="D62" t="s">
        <v>170</v>
      </c>
      <c r="E62">
        <v>108.2396218405957</v>
      </c>
      <c r="F62" t="s">
        <v>14</v>
      </c>
      <c r="G62">
        <v>3.6619076336136841E-2</v>
      </c>
    </row>
    <row r="63" spans="1:8" x14ac:dyDescent="0.3">
      <c r="A63" t="s">
        <v>86</v>
      </c>
      <c r="B63">
        <v>104.84</v>
      </c>
      <c r="C63" t="s">
        <v>164</v>
      </c>
      <c r="D63" t="s">
        <v>171</v>
      </c>
      <c r="E63">
        <v>104.68260641529685</v>
      </c>
      <c r="F63" t="s">
        <v>14</v>
      </c>
      <c r="G63">
        <v>-0.15012741768710205</v>
      </c>
    </row>
    <row r="64" spans="1:8" x14ac:dyDescent="0.3">
      <c r="A64" t="s">
        <v>87</v>
      </c>
      <c r="B64">
        <v>104.87</v>
      </c>
      <c r="C64" t="s">
        <v>165</v>
      </c>
      <c r="D64" t="s">
        <v>172</v>
      </c>
      <c r="E64">
        <v>101.89747468381336</v>
      </c>
      <c r="F64" t="s">
        <v>14</v>
      </c>
      <c r="G64">
        <v>-2.8344858550459118</v>
      </c>
    </row>
    <row r="65" spans="1:8" x14ac:dyDescent="0.3">
      <c r="A65" t="s">
        <v>88</v>
      </c>
      <c r="B65">
        <v>105.07</v>
      </c>
      <c r="C65" t="s">
        <v>166</v>
      </c>
      <c r="D65" t="s">
        <v>173</v>
      </c>
      <c r="E65">
        <v>100.23372420782295</v>
      </c>
      <c r="F65" t="s">
        <v>14</v>
      </c>
      <c r="G65">
        <v>-4.6029083393709413</v>
      </c>
    </row>
    <row r="66" spans="1:8" x14ac:dyDescent="0.3">
      <c r="A66" t="s">
        <v>79</v>
      </c>
      <c r="B66">
        <v>105.5</v>
      </c>
      <c r="C66" t="s">
        <v>227</v>
      </c>
      <c r="D66" t="s">
        <v>228</v>
      </c>
      <c r="E66">
        <v>98.919086041223011</v>
      </c>
      <c r="F66" t="s">
        <v>14</v>
      </c>
      <c r="G66">
        <v>-6.2378331362815063</v>
      </c>
    </row>
    <row r="67" spans="1:8" x14ac:dyDescent="0.3">
      <c r="A67" t="s">
        <v>81</v>
      </c>
      <c r="B67">
        <v>115.45</v>
      </c>
      <c r="C67" t="s">
        <v>167</v>
      </c>
      <c r="D67" t="s">
        <v>174</v>
      </c>
      <c r="E67">
        <v>113.25919817568428</v>
      </c>
      <c r="F67" t="s">
        <v>14</v>
      </c>
      <c r="G67">
        <v>-1.8976195966355367</v>
      </c>
    </row>
    <row r="68" spans="1:8" x14ac:dyDescent="0.3">
      <c r="A68" t="s">
        <v>82</v>
      </c>
      <c r="B68">
        <v>103.77</v>
      </c>
      <c r="C68" t="s">
        <v>168</v>
      </c>
      <c r="D68" t="s">
        <v>175</v>
      </c>
      <c r="E68">
        <v>99.415031648305614</v>
      </c>
      <c r="F68" t="s">
        <v>14</v>
      </c>
      <c r="G68">
        <v>-4.1967508448437716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4.16</v>
      </c>
      <c r="C71" t="s">
        <v>176</v>
      </c>
      <c r="D71" t="s">
        <v>181</v>
      </c>
      <c r="E71">
        <v>3.984816288198695</v>
      </c>
      <c r="F71" t="s">
        <v>33</v>
      </c>
      <c r="G71">
        <v>-4.2111469183006029</v>
      </c>
    </row>
    <row r="72" spans="1:8" x14ac:dyDescent="0.3">
      <c r="A72" t="s">
        <v>63</v>
      </c>
      <c r="B72">
        <v>9.23</v>
      </c>
      <c r="C72" t="s">
        <v>177</v>
      </c>
      <c r="D72" t="s">
        <v>182</v>
      </c>
      <c r="E72">
        <v>9.2000003078001527</v>
      </c>
      <c r="F72" t="s">
        <v>41</v>
      </c>
      <c r="G72">
        <v>-0.32502375081091844</v>
      </c>
    </row>
    <row r="73" spans="1:8" x14ac:dyDescent="0.3">
      <c r="A73" t="s">
        <v>65</v>
      </c>
      <c r="B73">
        <v>53.31</v>
      </c>
      <c r="C73" t="s">
        <v>226</v>
      </c>
      <c r="D73" t="s">
        <v>225</v>
      </c>
      <c r="E73">
        <v>53.667819154829395</v>
      </c>
      <c r="F73" t="s">
        <v>217</v>
      </c>
      <c r="G73">
        <v>0.67120456730330702</v>
      </c>
    </row>
    <row r="74" spans="1:8" x14ac:dyDescent="0.3">
      <c r="A74" t="s">
        <v>68</v>
      </c>
      <c r="B74">
        <v>0.9</v>
      </c>
      <c r="C74" t="s">
        <v>178</v>
      </c>
      <c r="D74" t="s">
        <v>183</v>
      </c>
      <c r="E74">
        <v>0.90000023247778671</v>
      </c>
      <c r="F74" t="s">
        <v>51</v>
      </c>
      <c r="G74">
        <v>2.5830865187555691E-5</v>
      </c>
    </row>
    <row r="75" spans="1:8" x14ac:dyDescent="0.3">
      <c r="A75" t="s">
        <v>80</v>
      </c>
      <c r="B75">
        <v>20.81</v>
      </c>
      <c r="C75" t="s">
        <v>179</v>
      </c>
      <c r="D75" t="s">
        <v>184</v>
      </c>
      <c r="E75">
        <v>23.989933376722263</v>
      </c>
      <c r="F75" t="s">
        <v>14</v>
      </c>
      <c r="G75">
        <v>15.280794698328997</v>
      </c>
    </row>
    <row r="76" spans="1:8" x14ac:dyDescent="0.3">
      <c r="A76" t="s">
        <v>206</v>
      </c>
      <c r="B76">
        <v>118.79</v>
      </c>
      <c r="C76" t="s">
        <v>180</v>
      </c>
      <c r="D76" t="s">
        <v>185</v>
      </c>
      <c r="E76">
        <v>116.74008152357902</v>
      </c>
      <c r="F76" t="s">
        <v>14</v>
      </c>
      <c r="G76">
        <v>-1.7256658611170841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7.71</v>
      </c>
      <c r="C79" t="s">
        <v>186</v>
      </c>
      <c r="D79" t="s">
        <v>187</v>
      </c>
      <c r="E79">
        <v>9.0077914004961066</v>
      </c>
      <c r="F79" t="s">
        <v>33</v>
      </c>
      <c r="G79">
        <v>16.832573287887246</v>
      </c>
    </row>
    <row r="80" spans="1:8" x14ac:dyDescent="0.3">
      <c r="A80" t="s">
        <v>69</v>
      </c>
      <c r="B80">
        <v>0.88</v>
      </c>
      <c r="C80" t="s">
        <v>223</v>
      </c>
      <c r="D80" t="s">
        <v>224</v>
      </c>
      <c r="E80">
        <v>0.8944446309444074</v>
      </c>
      <c r="F80" t="s">
        <v>51</v>
      </c>
      <c r="G80">
        <v>1.6414353345917498</v>
      </c>
    </row>
    <row r="81" spans="1:8" x14ac:dyDescent="0.3">
      <c r="G81" t="s">
        <v>202</v>
      </c>
    </row>
    <row r="82" spans="1:8" x14ac:dyDescent="0.3">
      <c r="A82" s="6" t="s">
        <v>99</v>
      </c>
      <c r="B82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52.63</v>
      </c>
      <c r="C83" t="s">
        <v>188</v>
      </c>
      <c r="D83" t="s">
        <v>191</v>
      </c>
      <c r="E83">
        <v>36.995709002257286</v>
      </c>
      <c r="F83" t="s">
        <v>14</v>
      </c>
      <c r="G83">
        <v>-29.706044077033471</v>
      </c>
    </row>
    <row r="84" spans="1:8" x14ac:dyDescent="0.3">
      <c r="A84" t="s">
        <v>135</v>
      </c>
      <c r="C84" t="s">
        <v>189</v>
      </c>
      <c r="D84" t="s">
        <v>192</v>
      </c>
      <c r="E84">
        <v>116.74008152357902</v>
      </c>
      <c r="F84" t="s">
        <v>14</v>
      </c>
      <c r="G84" t="e">
        <v>#DIV/0!</v>
      </c>
      <c r="H84" t="s">
        <v>136</v>
      </c>
    </row>
    <row r="85" spans="1:8" x14ac:dyDescent="0.3">
      <c r="A85" t="s">
        <v>78</v>
      </c>
      <c r="B85">
        <v>109.15</v>
      </c>
      <c r="C85" t="s">
        <v>190</v>
      </c>
      <c r="D85" t="s">
        <v>193</v>
      </c>
      <c r="E85">
        <v>108.31999727799672</v>
      </c>
      <c r="F85" t="s">
        <v>14</v>
      </c>
      <c r="G85">
        <v>-0.76042393220640025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30.64</v>
      </c>
      <c r="C88" t="s">
        <v>194</v>
      </c>
      <c r="D88" t="s">
        <v>196</v>
      </c>
      <c r="E88">
        <v>30.64005154662118</v>
      </c>
      <c r="F88" t="s">
        <v>14</v>
      </c>
      <c r="G88">
        <v>1.6823309784417309E-4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25.01</v>
      </c>
      <c r="C91" t="s">
        <v>195</v>
      </c>
      <c r="D91" t="s">
        <v>197</v>
      </c>
      <c r="E91">
        <v>25.012045449831419</v>
      </c>
      <c r="F91" t="s">
        <v>14</v>
      </c>
      <c r="G91">
        <v>8.1785279145034015E-3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23.21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1.0649999999999999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1.097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35.92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36.630000000000003</v>
      </c>
      <c r="E98" t="s">
        <v>241</v>
      </c>
      <c r="F98" t="s">
        <v>14</v>
      </c>
      <c r="G98" t="e">
        <v>#VALUE!</v>
      </c>
    </row>
    <row r="99" spans="1:8" x14ac:dyDescent="0.3">
      <c r="B99" s="9"/>
    </row>
    <row r="100" spans="1:8" x14ac:dyDescent="0.3">
      <c r="A100" s="6" t="s">
        <v>260</v>
      </c>
      <c r="B100" s="7"/>
      <c r="C100" s="7"/>
      <c r="D100" s="7"/>
      <c r="E100" s="7"/>
      <c r="F100" s="7"/>
      <c r="G100" s="7" t="s">
        <v>202</v>
      </c>
    </row>
    <row r="101" spans="1:8" x14ac:dyDescent="0.3">
      <c r="A101" t="s">
        <v>265</v>
      </c>
      <c r="B101">
        <v>0.45</v>
      </c>
      <c r="C101" t="s">
        <v>244</v>
      </c>
      <c r="D101" t="s">
        <v>243</v>
      </c>
      <c r="E101">
        <v>0.52231294742968271</v>
      </c>
      <c r="F101" t="s">
        <v>33</v>
      </c>
      <c r="G101">
        <v>16.06954387326282</v>
      </c>
    </row>
    <row r="102" spans="1:8" x14ac:dyDescent="0.3">
      <c r="A102" t="s">
        <v>265</v>
      </c>
      <c r="B102">
        <v>0.26</v>
      </c>
      <c r="C102" t="s">
        <v>250</v>
      </c>
      <c r="D102" t="s">
        <v>251</v>
      </c>
      <c r="E102">
        <v>0.26091999999999999</v>
      </c>
      <c r="F102" t="s">
        <v>43</v>
      </c>
      <c r="G102">
        <v>0.35384615384614476</v>
      </c>
      <c r="H102" t="s">
        <v>256</v>
      </c>
    </row>
    <row r="103" spans="1:8" x14ac:dyDescent="0.3">
      <c r="A103" t="s">
        <v>261</v>
      </c>
      <c r="B103">
        <v>82.422451994091588</v>
      </c>
      <c r="C103" t="s">
        <v>247</v>
      </c>
      <c r="D103" t="s">
        <v>252</v>
      </c>
      <c r="E103">
        <v>84.4</v>
      </c>
      <c r="F103" t="s">
        <v>229</v>
      </c>
      <c r="G103">
        <v>2.3992831541218611</v>
      </c>
      <c r="H103" t="s">
        <v>257</v>
      </c>
    </row>
    <row r="104" spans="1:8" x14ac:dyDescent="0.3">
      <c r="A104" t="s">
        <v>261</v>
      </c>
      <c r="B104">
        <v>4.3097276264591438</v>
      </c>
      <c r="C104" t="s">
        <v>248</v>
      </c>
      <c r="D104" t="s">
        <v>253</v>
      </c>
      <c r="E104">
        <v>3.69685</v>
      </c>
      <c r="F104" t="s">
        <v>255</v>
      </c>
      <c r="G104">
        <v>-14.220797219212708</v>
      </c>
      <c r="H104" t="s">
        <v>258</v>
      </c>
    </row>
    <row r="105" spans="1:8" x14ac:dyDescent="0.3">
      <c r="C105" t="s">
        <v>249</v>
      </c>
      <c r="D105" t="s">
        <v>254</v>
      </c>
      <c r="E105">
        <v>-5.5899999999999997E-5</v>
      </c>
      <c r="F105" t="s">
        <v>229</v>
      </c>
      <c r="H105" t="s">
        <v>259</v>
      </c>
    </row>
    <row r="124" spans="1:4" x14ac:dyDescent="0.3">
      <c r="A124" s="3"/>
    </row>
    <row r="125" spans="1:4" x14ac:dyDescent="0.3">
      <c r="C125" s="10"/>
      <c r="D125" s="10"/>
    </row>
    <row r="129" spans="1:4" x14ac:dyDescent="0.3">
      <c r="A129" s="3"/>
    </row>
    <row r="135" spans="1:4" x14ac:dyDescent="0.3">
      <c r="A135" s="1"/>
      <c r="C135" s="1"/>
      <c r="D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</sheetData>
  <conditionalFormatting sqref="G13:G98">
    <cfRule type="expression" dxfId="56" priority="10">
      <formula>ABS(G13)&gt;10</formula>
    </cfRule>
    <cfRule type="expression" dxfId="55" priority="11">
      <formula>AND(ABS(G13)&gt;=5,ABS(G13)&lt;10)</formula>
    </cfRule>
    <cfRule type="expression" dxfId="54" priority="12">
      <formula>ABS(G13)&lt;5</formula>
    </cfRule>
  </conditionalFormatting>
  <conditionalFormatting sqref="G100:G105">
    <cfRule type="expression" dxfId="53" priority="1">
      <formula>ABS(G100)&gt;10</formula>
    </cfRule>
    <cfRule type="expression" dxfId="52" priority="2">
      <formula>AND(ABS(G100)&gt;=5,ABS(G100)&lt;10)</formula>
    </cfRule>
    <cfRule type="expression" dxfId="51" priority="3">
      <formula>ABS(G100)&lt;5</formula>
    </cfRule>
  </conditionalFormatting>
  <conditionalFormatting sqref="H102:H105">
    <cfRule type="expression" dxfId="50" priority="4">
      <formula>ABS(H102)&gt;10</formula>
    </cfRule>
    <cfRule type="expression" dxfId="49" priority="5">
      <formula>AND(ABS(H102)&gt;=5,ABS(H102)&lt;10)</formula>
    </cfRule>
    <cfRule type="expression" dxfId="48" priority="6">
      <formula>ABS(H102)&lt;5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235A-61C9-40D0-B6C6-63ECE19B9D71}">
  <dimension ref="A1:J138"/>
  <sheetViews>
    <sheetView topLeftCell="A70" zoomScale="70" zoomScaleNormal="70" workbookViewId="0">
      <selection activeCell="B105" sqref="B105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3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A'!E:E),"")</f>
        <v>127.02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3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A'!E:E),"")</f>
        <v>152.07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A'!E:E),"")</f>
        <v>57.95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A'!E:E),"")</f>
        <v>57.95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A'!E:E),"")</f>
        <v>10.02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A'!E:E),"")</f>
        <v>46.68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0.22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A'!E:E),"")</f>
        <v>1040.05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A'!E:E),"")</f>
        <v>0.9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A'!E:E),"")</f>
        <v>30.74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A'!E:E),"")</f>
        <v>29.4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A'!E:E),"")</f>
        <v>127.02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A'!E:E),"")</f>
        <v>1056.4000000000001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A'!E:E),"")</f>
        <v>49.37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A'!E:E),"")</f>
        <v>152.07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A'!E:E),"")</f>
        <v>57.95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A'!E:E),"")</f>
        <v>57.95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A'!E:E),"")</f>
        <v>7.41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A'!E:E),"")</f>
        <v>3.05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A'!E:E),"")</f>
        <v>1040.05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A'!E:E),"")</f>
        <v>1048.1300000000001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A'!E:E),"")</f>
        <v>46.68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A'!E:E),"")</f>
        <v>47.91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A'!E:E),"")</f>
        <v>48.73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A'!E:E),"")</f>
        <v>48.67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A'!E:E),"")</f>
        <v>48.61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A'!E:E),"")</f>
        <v>48.67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A'!E:E),"")</f>
        <v>50.85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A'!E:E),"")</f>
        <v>56.46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A'!E:E),"")</f>
        <v>58.9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A'!E:E),"")</f>
        <v>57.2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A'!E:E),"")</f>
        <v>6.97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A'!E:E),"")</f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18.29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A'!E:E),"")</f>
        <v>156.94999999999999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A'!E:E),"")</f>
        <v>47.67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A'!E:E),"")</f>
        <v>51.62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A'!E:E),"")</f>
        <v>46.72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A'!E:E),"")</f>
        <v>120.65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A'!E:E),"")</f>
        <v>114.29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A'!E:E),"")</f>
        <v>109.7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A'!E:E),"")</f>
        <v>106.01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A'!E:E),"")</f>
        <v>104.84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A'!E:E),"")</f>
        <v>105.29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A'!E:E),"")</f>
        <v>118.52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A'!E:E),"")</f>
        <v>103.72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A'!E:E),"")</f>
        <v>4.5999999999999996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A'!E:E),"")</f>
        <v>10.02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A'!E:E),"")</f>
        <v>53.84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A'!E:E),"")</f>
        <v>0.9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A'!E:E),"")</f>
        <v>24.87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A'!E:E),"")</f>
        <v>121.07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A'!E:E),"")</f>
        <v>8.99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A'!E:E),"")</f>
        <v>0.88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A'!E:E),"")</f>
        <v>49.43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B84" t="str">
        <f>IFERROR(_xlfn.XLOOKUP(A84,'Appendix A'!A:A,'Appendix A'!E:E),"")</f>
        <v/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A'!E:E),"")</f>
        <v>109.62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A'!E:E),"")</f>
        <v>30.74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A'!E:E),"")</f>
        <v>29.4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A'!E:E),"")</f>
        <v>294.18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A'!E:E),"")</f>
        <v>1.0529999999999999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A'!E:E),"")</f>
        <v>1.1020000000000001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A'!E:E),"")</f>
        <v>35.950000000000003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A'!E:E),"")</f>
        <v>36.68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0.49</v>
      </c>
      <c r="C100" t="s">
        <v>244</v>
      </c>
      <c r="D100" t="s">
        <v>243</v>
      </c>
      <c r="E100" t="e" cm="1">
        <f t="array" ref="E100">_xll.ReadKSpice(_xlfn.CONCAT("/",$B$1,"/",$B$2,"/",D100,"@V_Unit=",F100))</f>
        <v>#N/A</v>
      </c>
      <c r="F100" t="s">
        <v>33</v>
      </c>
      <c r="G100" t="e">
        <f>100*(E100-B100)/B100</f>
        <v>#N/A</v>
      </c>
    </row>
    <row r="101" spans="1:8" x14ac:dyDescent="0.3">
      <c r="A101" t="s">
        <v>265</v>
      </c>
      <c r="B101">
        <v>0.22</v>
      </c>
      <c r="C101" t="s">
        <v>250</v>
      </c>
      <c r="D101" t="s">
        <v>251</v>
      </c>
      <c r="E101" t="e" cm="1">
        <f t="array" ref="E101">_xll.ReadKSpice(_xlfn.CONCAT("/",$B$1,"/",$B$2,"/",D101,"@V_Unit=",F101))</f>
        <v>#N/A</v>
      </c>
      <c r="F101" t="s">
        <v>43</v>
      </c>
      <c r="G101" t="e">
        <f t="shared" ref="G101:G104" si="5">100*(E101-B101)/B101</f>
        <v>#N/A</v>
      </c>
      <c r="H101" t="s">
        <v>256</v>
      </c>
    </row>
    <row r="102" spans="1:8" x14ac:dyDescent="0.3">
      <c r="A102" t="s">
        <v>261</v>
      </c>
      <c r="B102">
        <f>((B34-B37)/B34)*100</f>
        <v>58.83940620782726</v>
      </c>
      <c r="C102" t="s">
        <v>247</v>
      </c>
      <c r="D102" t="s">
        <v>252</v>
      </c>
      <c r="E102" t="e" cm="1">
        <f t="array" ref="E102">_xll.ReadKSpice(_xlfn.CONCAT("/",$B$1,"/",$B$2,"/",D102,"@V_Unit=",F102))</f>
        <v>#N/A</v>
      </c>
      <c r="F102" t="s">
        <v>229</v>
      </c>
      <c r="G102" t="e">
        <f t="shared" si="5"/>
        <v>#N/A</v>
      </c>
      <c r="H102" t="s">
        <v>257</v>
      </c>
    </row>
    <row r="103" spans="1:8" x14ac:dyDescent="0.3">
      <c r="A103" t="s">
        <v>261</v>
      </c>
      <c r="B103">
        <f>(3.6*B17)/B79</f>
        <v>4.0124582869855399</v>
      </c>
      <c r="C103" t="s">
        <v>248</v>
      </c>
      <c r="D103" t="s">
        <v>253</v>
      </c>
      <c r="E103" t="e" cm="1">
        <f t="array" ref="E103">_xll.ReadKSpice(_xlfn.CONCAT("/",$B$1,"/",$B$2,"/",D103,"@V_Unit=",F103))</f>
        <v>#N/A</v>
      </c>
      <c r="F103" t="s">
        <v>255</v>
      </c>
      <c r="G103" t="e">
        <f t="shared" si="5"/>
        <v>#N/A</v>
      </c>
      <c r="H103" t="s">
        <v>258</v>
      </c>
    </row>
    <row r="104" spans="1:8" x14ac:dyDescent="0.3">
      <c r="C104" t="s">
        <v>249</v>
      </c>
      <c r="D104" t="s">
        <v>254</v>
      </c>
      <c r="E104" t="e" cm="1">
        <f t="array" ref="E104">_xll.ReadKSpice(_xlfn.CONCAT("/",$B$1,"/",$B$2,"/",D104,"@V_Unit=",F104))</f>
        <v>#N/A</v>
      </c>
      <c r="F104" t="s">
        <v>229</v>
      </c>
      <c r="G104" t="e">
        <f t="shared" si="5"/>
        <v>#N/A</v>
      </c>
      <c r="H104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104">
    <cfRule type="expression" dxfId="47" priority="1">
      <formula>ABS(G13)&gt;10</formula>
    </cfRule>
    <cfRule type="expression" dxfId="46" priority="2">
      <formula>AND(ABS(G13)&gt;=5,ABS(G13)&lt;10)</formula>
    </cfRule>
    <cfRule type="expression" dxfId="45" priority="3">
      <formula>ABS(G13)&lt;5</formula>
    </cfRule>
  </conditionalFormatting>
  <conditionalFormatting sqref="H101:H104">
    <cfRule type="expression" dxfId="44" priority="4">
      <formula>ABS(H101)&gt;10</formula>
    </cfRule>
    <cfRule type="expression" dxfId="43" priority="5">
      <formula>AND(ABS(H101)&gt;=5,ABS(H101)&lt;10)</formula>
    </cfRule>
    <cfRule type="expression" dxfId="42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A5D-592D-4F24-B79A-BBCC3C814279}">
  <dimension ref="A1:J144"/>
  <sheetViews>
    <sheetView topLeftCell="D64" zoomScale="55" zoomScaleNormal="55" workbookViewId="0">
      <selection activeCell="H111" sqref="H111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3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AVERAGE(ABS(G100:G103))</f>
        <v>5.0984884484374939</v>
      </c>
      <c r="J9" s="2"/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AVERAGE(ABS(G26:G31),ABS(G34),ABS(G37:G49),ABS(G52),ABS(G55),ABS(G57:G58),ABS(G61:G68),ABS(G71:G76),ABS(G79),ABS(G80),ABS(G83),ABS(G85),ABS(G88),ABS(G91),ABS(G100:G102))</f>
        <v>9.1575025088828745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127.02</v>
      </c>
      <c r="C13" t="s">
        <v>30</v>
      </c>
      <c r="D13" t="s">
        <v>111</v>
      </c>
      <c r="E13">
        <v>127.02</v>
      </c>
      <c r="F13" t="s">
        <v>31</v>
      </c>
      <c r="G13">
        <v>0</v>
      </c>
      <c r="H13" t="s">
        <v>35</v>
      </c>
    </row>
    <row r="14" spans="1:10" x14ac:dyDescent="0.3">
      <c r="A14" t="s">
        <v>58</v>
      </c>
      <c r="B14">
        <v>152.07</v>
      </c>
      <c r="C14" t="s">
        <v>32</v>
      </c>
      <c r="D14" t="s">
        <v>112</v>
      </c>
      <c r="E14">
        <v>152.1</v>
      </c>
      <c r="F14" t="s">
        <v>33</v>
      </c>
      <c r="G14">
        <v>1.9727756954035076E-2</v>
      </c>
      <c r="H14" t="s">
        <v>36</v>
      </c>
    </row>
    <row r="15" spans="1:10" x14ac:dyDescent="0.3">
      <c r="A15" t="s">
        <v>25</v>
      </c>
      <c r="B15">
        <v>57.95</v>
      </c>
      <c r="C15" t="s">
        <v>107</v>
      </c>
      <c r="D15" t="s">
        <v>113</v>
      </c>
      <c r="E15">
        <v>57.949999999999989</v>
      </c>
      <c r="F15" t="s">
        <v>14</v>
      </c>
      <c r="G15">
        <v>-2.4522613831237278E-14</v>
      </c>
      <c r="H15" t="s">
        <v>37</v>
      </c>
    </row>
    <row r="16" spans="1:10" x14ac:dyDescent="0.3">
      <c r="A16" t="s">
        <v>25</v>
      </c>
      <c r="B16">
        <v>57.95</v>
      </c>
      <c r="C16" t="s">
        <v>38</v>
      </c>
      <c r="D16" t="s">
        <v>220</v>
      </c>
      <c r="E16">
        <v>57.949999999999989</v>
      </c>
      <c r="F16" t="s">
        <v>14</v>
      </c>
      <c r="G16">
        <v>-2.4522613831237278E-14</v>
      </c>
      <c r="H16" t="s">
        <v>108</v>
      </c>
    </row>
    <row r="17" spans="1:8" x14ac:dyDescent="0.3">
      <c r="A17" t="s">
        <v>63</v>
      </c>
      <c r="B17">
        <v>10.02</v>
      </c>
      <c r="C17" t="s">
        <v>40</v>
      </c>
      <c r="D17" t="s">
        <v>219</v>
      </c>
      <c r="E17">
        <v>10</v>
      </c>
      <c r="F17" t="s">
        <v>41</v>
      </c>
      <c r="G17">
        <v>-0.19960079840318937</v>
      </c>
      <c r="H17" t="s">
        <v>39</v>
      </c>
    </row>
    <row r="18" spans="1:8" x14ac:dyDescent="0.3">
      <c r="A18" t="s">
        <v>16</v>
      </c>
      <c r="B18">
        <v>46.68</v>
      </c>
      <c r="C18" t="s">
        <v>231</v>
      </c>
      <c r="D18" t="s">
        <v>232</v>
      </c>
      <c r="E18">
        <v>46.680000000000007</v>
      </c>
      <c r="F18" t="s">
        <v>14</v>
      </c>
      <c r="G18">
        <v>1.5221566747217228E-14</v>
      </c>
      <c r="H18" t="s">
        <v>42</v>
      </c>
    </row>
    <row r="19" spans="1:8" x14ac:dyDescent="0.3">
      <c r="B19">
        <v>0.22</v>
      </c>
      <c r="C19" t="s">
        <v>105</v>
      </c>
      <c r="D19" t="s">
        <v>114</v>
      </c>
      <c r="E19">
        <v>0.21999454266983817</v>
      </c>
      <c r="F19" t="s">
        <v>43</v>
      </c>
      <c r="G19">
        <v>-2.4806046190130955E-3</v>
      </c>
      <c r="H19" t="s">
        <v>44</v>
      </c>
    </row>
    <row r="20" spans="1:8" x14ac:dyDescent="0.3">
      <c r="A20" t="s">
        <v>47</v>
      </c>
      <c r="B20">
        <v>1040.05</v>
      </c>
      <c r="C20" t="s">
        <v>46</v>
      </c>
      <c r="D20" t="s">
        <v>115</v>
      </c>
      <c r="E20">
        <v>1040.05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0.9</v>
      </c>
      <c r="C21" t="s">
        <v>49</v>
      </c>
      <c r="D21" t="s">
        <v>116</v>
      </c>
      <c r="E21">
        <v>0.90000000000000013</v>
      </c>
      <c r="F21" t="s">
        <v>51</v>
      </c>
      <c r="G21">
        <v>1.2335811384723962E-14</v>
      </c>
      <c r="H21" t="s">
        <v>48</v>
      </c>
    </row>
    <row r="22" spans="1:8" x14ac:dyDescent="0.3">
      <c r="A22" t="s">
        <v>89</v>
      </c>
      <c r="B22">
        <v>30.74</v>
      </c>
      <c r="C22" t="s">
        <v>53</v>
      </c>
      <c r="D22" t="s">
        <v>117</v>
      </c>
      <c r="E22">
        <v>30.740000000000009</v>
      </c>
      <c r="F22" t="s">
        <v>14</v>
      </c>
      <c r="G22">
        <v>3.4671896670141521E-14</v>
      </c>
      <c r="H22" t="s">
        <v>52</v>
      </c>
    </row>
    <row r="23" spans="1:8" x14ac:dyDescent="0.3">
      <c r="A23" t="s">
        <v>90</v>
      </c>
      <c r="B23">
        <v>29.4</v>
      </c>
      <c r="C23" t="s">
        <v>55</v>
      </c>
      <c r="D23" t="s">
        <v>118</v>
      </c>
      <c r="E23">
        <v>29.399999999999977</v>
      </c>
      <c r="F23" t="s">
        <v>14</v>
      </c>
      <c r="G23">
        <v>-7.2504360791846956E-14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127.02</v>
      </c>
      <c r="C26" t="s">
        <v>12</v>
      </c>
      <c r="D26" t="s">
        <v>119</v>
      </c>
      <c r="E26">
        <v>127.01999999803807</v>
      </c>
      <c r="F26" t="s">
        <v>31</v>
      </c>
      <c r="G26">
        <v>-1.5445773738555804E-9</v>
      </c>
    </row>
    <row r="27" spans="1:8" x14ac:dyDescent="0.3">
      <c r="A27" t="s">
        <v>67</v>
      </c>
      <c r="B27">
        <v>1056.4000000000001</v>
      </c>
      <c r="C27" t="s">
        <v>235</v>
      </c>
      <c r="D27" t="s">
        <v>236</v>
      </c>
      <c r="E27">
        <v>1044.9989053971124</v>
      </c>
      <c r="F27" t="s">
        <v>218</v>
      </c>
      <c r="G27">
        <v>-1.079240306975362</v>
      </c>
    </row>
    <row r="28" spans="1:8" x14ac:dyDescent="0.3">
      <c r="A28" t="s">
        <v>13</v>
      </c>
      <c r="B28">
        <v>49.37</v>
      </c>
      <c r="C28" t="s">
        <v>233</v>
      </c>
      <c r="D28" t="s">
        <v>234</v>
      </c>
      <c r="E28">
        <v>46.680000000001826</v>
      </c>
      <c r="F28" t="s">
        <v>14</v>
      </c>
      <c r="G28">
        <v>-5.448653028151047</v>
      </c>
    </row>
    <row r="29" spans="1:8" x14ac:dyDescent="0.3">
      <c r="A29" t="s">
        <v>58</v>
      </c>
      <c r="B29">
        <v>152.07</v>
      </c>
      <c r="C29" t="s">
        <v>120</v>
      </c>
      <c r="D29" t="s">
        <v>121</v>
      </c>
      <c r="E29">
        <v>152.09999999650313</v>
      </c>
      <c r="F29" t="s">
        <v>33</v>
      </c>
      <c r="G29">
        <v>1.9727754654524969E-2</v>
      </c>
    </row>
    <row r="30" spans="1:8" x14ac:dyDescent="0.3">
      <c r="A30" t="s">
        <v>25</v>
      </c>
      <c r="B30">
        <v>57.95</v>
      </c>
      <c r="C30" t="s">
        <v>109</v>
      </c>
      <c r="D30" t="s">
        <v>110</v>
      </c>
      <c r="E30">
        <v>57.955227790360425</v>
      </c>
      <c r="F30" t="s">
        <v>14</v>
      </c>
      <c r="G30">
        <v>9.0212085598310454E-3</v>
      </c>
      <c r="H30" t="s">
        <v>37</v>
      </c>
    </row>
    <row r="31" spans="1:8" x14ac:dyDescent="0.3">
      <c r="A31" t="s">
        <v>25</v>
      </c>
      <c r="B31">
        <v>57.95</v>
      </c>
      <c r="C31" t="s">
        <v>221</v>
      </c>
      <c r="D31" t="s">
        <v>222</v>
      </c>
      <c r="E31">
        <v>33.330483778151972</v>
      </c>
      <c r="F31" t="s">
        <v>14</v>
      </c>
      <c r="G31">
        <v>-42.484065956597114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7.41</v>
      </c>
      <c r="C34" t="s">
        <v>122</v>
      </c>
      <c r="D34" t="s">
        <v>123</v>
      </c>
      <c r="E34">
        <v>7.7</v>
      </c>
      <c r="F34" t="s">
        <v>229</v>
      </c>
      <c r="G34">
        <v>3.9136302294197036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2.963105545728006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0.13203555055717861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3.05</v>
      </c>
      <c r="C37" t="s">
        <v>128</v>
      </c>
      <c r="E37">
        <v>3.0951410962851846</v>
      </c>
      <c r="F37" t="s">
        <v>229</v>
      </c>
      <c r="G37">
        <v>1.4800359437765513</v>
      </c>
      <c r="H37" t="s">
        <v>230</v>
      </c>
    </row>
    <row r="38" spans="1:8" x14ac:dyDescent="0.3">
      <c r="A38" t="s">
        <v>47</v>
      </c>
      <c r="B38">
        <v>1040.05</v>
      </c>
      <c r="C38" t="s">
        <v>131</v>
      </c>
      <c r="D38" t="s">
        <v>133</v>
      </c>
      <c r="E38">
        <v>1040.0500000102845</v>
      </c>
      <c r="F38" t="s">
        <v>218</v>
      </c>
      <c r="G38">
        <v>9.8885304433904833E-10</v>
      </c>
    </row>
    <row r="39" spans="1:8" x14ac:dyDescent="0.3">
      <c r="A39" t="s">
        <v>66</v>
      </c>
      <c r="B39">
        <v>1048.1300000000001</v>
      </c>
      <c r="C39" t="s">
        <v>132</v>
      </c>
      <c r="D39" t="s">
        <v>134</v>
      </c>
      <c r="E39">
        <v>1044.6892210259784</v>
      </c>
      <c r="F39" t="s">
        <v>218</v>
      </c>
      <c r="G39">
        <v>-0.32827788289827292</v>
      </c>
    </row>
    <row r="40" spans="1:8" x14ac:dyDescent="0.3">
      <c r="A40" t="s">
        <v>16</v>
      </c>
      <c r="B40">
        <v>46.68</v>
      </c>
      <c r="C40" t="s">
        <v>233</v>
      </c>
      <c r="D40" t="s">
        <v>234</v>
      </c>
      <c r="E40">
        <v>46.680000000001826</v>
      </c>
      <c r="F40" t="s">
        <v>14</v>
      </c>
      <c r="G40">
        <v>3.9119426540348274E-12</v>
      </c>
      <c r="H40" t="s">
        <v>237</v>
      </c>
    </row>
    <row r="41" spans="1:8" x14ac:dyDescent="0.3">
      <c r="A41" t="s">
        <v>73</v>
      </c>
      <c r="B41">
        <v>47.91</v>
      </c>
      <c r="C41" t="s">
        <v>137</v>
      </c>
      <c r="D41" t="s">
        <v>146</v>
      </c>
      <c r="E41">
        <v>33.407466526565656</v>
      </c>
      <c r="F41" t="s">
        <v>14</v>
      </c>
      <c r="G41">
        <v>-30.270368343632523</v>
      </c>
    </row>
    <row r="42" spans="1:8" x14ac:dyDescent="0.3">
      <c r="A42" t="s">
        <v>17</v>
      </c>
      <c r="B42">
        <v>48.73</v>
      </c>
      <c r="C42" t="s">
        <v>18</v>
      </c>
      <c r="D42" t="s">
        <v>147</v>
      </c>
      <c r="E42">
        <v>33.379692668646101</v>
      </c>
      <c r="F42" t="s">
        <v>14</v>
      </c>
      <c r="G42">
        <v>-31.500733288228808</v>
      </c>
    </row>
    <row r="43" spans="1:8" x14ac:dyDescent="0.3">
      <c r="A43" t="s">
        <v>19</v>
      </c>
      <c r="B43">
        <v>48.67</v>
      </c>
      <c r="C43" t="s">
        <v>138</v>
      </c>
      <c r="D43" t="s">
        <v>148</v>
      </c>
      <c r="E43">
        <v>34.145114000460694</v>
      </c>
      <c r="F43" t="s">
        <v>14</v>
      </c>
      <c r="G43">
        <v>-29.843612080417728</v>
      </c>
    </row>
    <row r="44" spans="1:8" x14ac:dyDescent="0.3">
      <c r="A44" t="s">
        <v>20</v>
      </c>
      <c r="B44">
        <v>48.61</v>
      </c>
      <c r="C44" t="s">
        <v>139</v>
      </c>
      <c r="D44" t="s">
        <v>149</v>
      </c>
      <c r="E44">
        <v>35.143119388096864</v>
      </c>
      <c r="F44" t="s">
        <v>14</v>
      </c>
      <c r="G44">
        <v>-27.703930491469116</v>
      </c>
    </row>
    <row r="45" spans="1:8" x14ac:dyDescent="0.3">
      <c r="A45" t="s">
        <v>21</v>
      </c>
      <c r="B45">
        <v>48.67</v>
      </c>
      <c r="C45" t="s">
        <v>140</v>
      </c>
      <c r="D45" t="s">
        <v>150</v>
      </c>
      <c r="E45">
        <v>36.447386700658456</v>
      </c>
      <c r="F45" t="s">
        <v>14</v>
      </c>
      <c r="G45">
        <v>-25.113238749417601</v>
      </c>
    </row>
    <row r="46" spans="1:8" x14ac:dyDescent="0.3">
      <c r="A46" t="s">
        <v>22</v>
      </c>
      <c r="B46">
        <v>50.85</v>
      </c>
      <c r="C46" t="s">
        <v>141</v>
      </c>
      <c r="D46" t="s">
        <v>151</v>
      </c>
      <c r="E46">
        <v>38.291267568742967</v>
      </c>
      <c r="F46" t="s">
        <v>14</v>
      </c>
      <c r="G46">
        <v>-24.697605567860442</v>
      </c>
    </row>
    <row r="47" spans="1:8" x14ac:dyDescent="0.3">
      <c r="A47" t="s">
        <v>23</v>
      </c>
      <c r="B47">
        <v>56.46</v>
      </c>
      <c r="C47" t="s">
        <v>142</v>
      </c>
      <c r="D47" t="s">
        <v>152</v>
      </c>
      <c r="E47">
        <v>41.111043128031554</v>
      </c>
      <c r="F47" t="s">
        <v>14</v>
      </c>
      <c r="G47">
        <v>-27.185541749855556</v>
      </c>
    </row>
    <row r="48" spans="1:8" x14ac:dyDescent="0.3">
      <c r="A48" t="s">
        <v>24</v>
      </c>
      <c r="B48">
        <v>58.9</v>
      </c>
      <c r="C48" t="s">
        <v>143</v>
      </c>
      <c r="D48" t="s">
        <v>153</v>
      </c>
      <c r="E48">
        <v>45.856550608696296</v>
      </c>
      <c r="F48" t="s">
        <v>14</v>
      </c>
      <c r="G48">
        <v>-22.145075367238885</v>
      </c>
    </row>
    <row r="49" spans="1:8" x14ac:dyDescent="0.3">
      <c r="A49" t="s">
        <v>83</v>
      </c>
      <c r="B49">
        <v>57.2</v>
      </c>
      <c r="C49" t="s">
        <v>144</v>
      </c>
      <c r="D49" t="s">
        <v>154</v>
      </c>
      <c r="E49">
        <v>61.946696196169171</v>
      </c>
      <c r="F49" t="s">
        <v>14</v>
      </c>
      <c r="G49">
        <v>8.2984199233726716</v>
      </c>
    </row>
    <row r="50" spans="1:8" x14ac:dyDescent="0.3">
      <c r="A50" t="s">
        <v>70</v>
      </c>
      <c r="B50">
        <v>6.97</v>
      </c>
      <c r="F50" t="s">
        <v>217</v>
      </c>
      <c r="G50" t="s">
        <v>202</v>
      </c>
    </row>
    <row r="51" spans="1:8" x14ac:dyDescent="0.3">
      <c r="A51" t="s">
        <v>64</v>
      </c>
      <c r="B51">
        <v>11.32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18.29</v>
      </c>
      <c r="C52" t="s">
        <v>145</v>
      </c>
      <c r="D52" t="s">
        <v>155</v>
      </c>
      <c r="E52">
        <v>17.450564382408317</v>
      </c>
      <c r="F52" t="s">
        <v>217</v>
      </c>
      <c r="G52">
        <v>-4.5895878490523927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156.94999999999999</v>
      </c>
      <c r="C55" t="s">
        <v>156</v>
      </c>
      <c r="D55" t="s">
        <v>157</v>
      </c>
      <c r="E55">
        <v>147.08720890809013</v>
      </c>
      <c r="F55" t="s">
        <v>33</v>
      </c>
      <c r="G55">
        <v>-6.2840338272761107</v>
      </c>
    </row>
    <row r="56" spans="1:8" x14ac:dyDescent="0.3">
      <c r="A56" t="s">
        <v>74</v>
      </c>
      <c r="B56">
        <v>47.67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51.62</v>
      </c>
      <c r="C57" t="s">
        <v>158</v>
      </c>
      <c r="D57" t="s">
        <v>159</v>
      </c>
      <c r="E57">
        <v>57.94637571559025</v>
      </c>
      <c r="F57" t="s">
        <v>14</v>
      </c>
      <c r="G57">
        <v>12.255667794634352</v>
      </c>
    </row>
    <row r="58" spans="1:8" x14ac:dyDescent="0.3">
      <c r="A58" t="s">
        <v>76</v>
      </c>
      <c r="B58">
        <v>46.72</v>
      </c>
      <c r="C58" t="s">
        <v>161</v>
      </c>
      <c r="D58" t="s">
        <v>160</v>
      </c>
      <c r="E58">
        <v>33.445426430387101</v>
      </c>
      <c r="F58" t="s">
        <v>14</v>
      </c>
      <c r="G58">
        <v>-28.413042743178295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120.65</v>
      </c>
      <c r="C61" t="s">
        <v>162</v>
      </c>
      <c r="D61" t="s">
        <v>169</v>
      </c>
      <c r="E61">
        <v>114.74472168159889</v>
      </c>
      <c r="F61" t="s">
        <v>14</v>
      </c>
      <c r="G61">
        <v>-4.8945531026946671</v>
      </c>
    </row>
    <row r="62" spans="1:8" x14ac:dyDescent="0.3">
      <c r="A62" t="s">
        <v>85</v>
      </c>
      <c r="B62">
        <v>114.29</v>
      </c>
      <c r="C62" t="s">
        <v>163</v>
      </c>
      <c r="D62" t="s">
        <v>170</v>
      </c>
      <c r="E62">
        <v>112.98198993708019</v>
      </c>
      <c r="F62" t="s">
        <v>14</v>
      </c>
      <c r="G62">
        <v>-1.1444658875840579</v>
      </c>
    </row>
    <row r="63" spans="1:8" x14ac:dyDescent="0.3">
      <c r="A63" t="s">
        <v>86</v>
      </c>
      <c r="B63">
        <v>109.7</v>
      </c>
      <c r="C63" t="s">
        <v>164</v>
      </c>
      <c r="D63" t="s">
        <v>171</v>
      </c>
      <c r="E63">
        <v>110.49913114276882</v>
      </c>
      <c r="F63" t="s">
        <v>14</v>
      </c>
      <c r="G63">
        <v>0.72846959231432507</v>
      </c>
    </row>
    <row r="64" spans="1:8" x14ac:dyDescent="0.3">
      <c r="A64" t="s">
        <v>87</v>
      </c>
      <c r="B64">
        <v>106.01</v>
      </c>
      <c r="C64" t="s">
        <v>165</v>
      </c>
      <c r="D64" t="s">
        <v>172</v>
      </c>
      <c r="E64">
        <v>107.46706137524558</v>
      </c>
      <c r="F64" t="s">
        <v>14</v>
      </c>
      <c r="G64">
        <v>1.3744565373507902</v>
      </c>
    </row>
    <row r="65" spans="1:8" x14ac:dyDescent="0.3">
      <c r="A65" t="s">
        <v>88</v>
      </c>
      <c r="B65">
        <v>104.84</v>
      </c>
      <c r="C65" t="s">
        <v>166</v>
      </c>
      <c r="D65" t="s">
        <v>173</v>
      </c>
      <c r="E65">
        <v>103.80873716639081</v>
      </c>
      <c r="F65" t="s">
        <v>14</v>
      </c>
      <c r="G65">
        <v>-0.9836539809320779</v>
      </c>
    </row>
    <row r="66" spans="1:8" x14ac:dyDescent="0.3">
      <c r="A66" t="s">
        <v>79</v>
      </c>
      <c r="B66">
        <v>105.29</v>
      </c>
      <c r="C66" t="s">
        <v>227</v>
      </c>
      <c r="D66" t="s">
        <v>228</v>
      </c>
      <c r="E66">
        <v>97.597972307101031</v>
      </c>
      <c r="F66" t="s">
        <v>14</v>
      </c>
      <c r="G66">
        <v>-7.3055633895896808</v>
      </c>
    </row>
    <row r="67" spans="1:8" x14ac:dyDescent="0.3">
      <c r="A67" t="s">
        <v>81</v>
      </c>
      <c r="B67">
        <v>118.52</v>
      </c>
      <c r="C67" t="s">
        <v>167</v>
      </c>
      <c r="D67" t="s">
        <v>174</v>
      </c>
      <c r="E67">
        <v>115.90945335083723</v>
      </c>
      <c r="F67" t="s">
        <v>14</v>
      </c>
      <c r="G67">
        <v>-2.2026212024660574</v>
      </c>
    </row>
    <row r="68" spans="1:8" x14ac:dyDescent="0.3">
      <c r="A68" t="s">
        <v>82</v>
      </c>
      <c r="B68">
        <v>103.72</v>
      </c>
      <c r="C68" t="s">
        <v>168</v>
      </c>
      <c r="D68" t="s">
        <v>175</v>
      </c>
      <c r="E68">
        <v>100.73379552756916</v>
      </c>
      <c r="F68" t="s">
        <v>14</v>
      </c>
      <c r="G68">
        <v>-2.8791018824053625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4.5999999999999996</v>
      </c>
      <c r="C71" t="s">
        <v>176</v>
      </c>
      <c r="D71" t="s">
        <v>181</v>
      </c>
      <c r="E71">
        <v>4.5359618157211532</v>
      </c>
      <c r="F71" t="s">
        <v>33</v>
      </c>
      <c r="G71">
        <v>-1.392134440844488</v>
      </c>
    </row>
    <row r="72" spans="1:8" x14ac:dyDescent="0.3">
      <c r="A72" t="s">
        <v>63</v>
      </c>
      <c r="B72">
        <v>10.02</v>
      </c>
      <c r="C72" t="s">
        <v>177</v>
      </c>
      <c r="D72" t="s">
        <v>182</v>
      </c>
      <c r="E72">
        <v>10.000000240380526</v>
      </c>
      <c r="F72" t="s">
        <v>41</v>
      </c>
      <c r="G72">
        <v>-0.19959839939594234</v>
      </c>
    </row>
    <row r="73" spans="1:8" x14ac:dyDescent="0.3">
      <c r="A73" t="s">
        <v>65</v>
      </c>
      <c r="B73">
        <v>53.84</v>
      </c>
      <c r="C73" t="s">
        <v>226</v>
      </c>
      <c r="D73" t="s">
        <v>225</v>
      </c>
      <c r="E73">
        <v>53.651639292127371</v>
      </c>
      <c r="F73" t="s">
        <v>217</v>
      </c>
      <c r="G73">
        <v>-0.34985272636075931</v>
      </c>
    </row>
    <row r="74" spans="1:8" x14ac:dyDescent="0.3">
      <c r="A74" t="s">
        <v>68</v>
      </c>
      <c r="B74">
        <v>0.9</v>
      </c>
      <c r="C74" t="s">
        <v>178</v>
      </c>
      <c r="D74" t="s">
        <v>183</v>
      </c>
      <c r="E74">
        <v>0.90000096577242206</v>
      </c>
      <c r="F74" t="s">
        <v>51</v>
      </c>
      <c r="G74">
        <v>1.0730804689274009E-4</v>
      </c>
    </row>
    <row r="75" spans="1:8" x14ac:dyDescent="0.3">
      <c r="A75" t="s">
        <v>80</v>
      </c>
      <c r="B75">
        <v>24.87</v>
      </c>
      <c r="C75" t="s">
        <v>179</v>
      </c>
      <c r="D75" t="s">
        <v>184</v>
      </c>
      <c r="E75">
        <v>28.432143878054944</v>
      </c>
      <c r="F75" t="s">
        <v>14</v>
      </c>
      <c r="G75">
        <v>14.323055400301339</v>
      </c>
    </row>
    <row r="76" spans="1:8" x14ac:dyDescent="0.3">
      <c r="A76" t="s">
        <v>206</v>
      </c>
      <c r="B76">
        <v>121.07</v>
      </c>
      <c r="C76" t="s">
        <v>180</v>
      </c>
      <c r="D76" t="s">
        <v>185</v>
      </c>
      <c r="E76">
        <v>117.40859806948163</v>
      </c>
      <c r="F76" t="s">
        <v>14</v>
      </c>
      <c r="G76">
        <v>-3.0242024700738135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8.99</v>
      </c>
      <c r="C79" t="s">
        <v>186</v>
      </c>
      <c r="D79" t="s">
        <v>187</v>
      </c>
      <c r="E79">
        <v>9.6311865157865828</v>
      </c>
      <c r="F79" t="s">
        <v>33</v>
      </c>
      <c r="G79">
        <v>7.1322193079708853</v>
      </c>
    </row>
    <row r="80" spans="1:8" x14ac:dyDescent="0.3">
      <c r="A80" t="s">
        <v>69</v>
      </c>
      <c r="B80">
        <v>0.88</v>
      </c>
      <c r="C80" t="s">
        <v>223</v>
      </c>
      <c r="D80" t="s">
        <v>224</v>
      </c>
      <c r="E80">
        <v>0.8936781421696085</v>
      </c>
      <c r="F80" t="s">
        <v>51</v>
      </c>
      <c r="G80">
        <v>1.5543343374555112</v>
      </c>
    </row>
    <row r="81" spans="1:8" x14ac:dyDescent="0.3">
      <c r="G81" t="s">
        <v>202</v>
      </c>
    </row>
    <row r="82" spans="1:8" x14ac:dyDescent="0.3">
      <c r="A82" s="6" t="s">
        <v>99</v>
      </c>
      <c r="B82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49.43</v>
      </c>
      <c r="C83" t="s">
        <v>188</v>
      </c>
      <c r="D83" t="s">
        <v>191</v>
      </c>
      <c r="E83">
        <v>33.850356197537849</v>
      </c>
      <c r="F83" t="s">
        <v>14</v>
      </c>
      <c r="G83">
        <v>-31.518599640829763</v>
      </c>
    </row>
    <row r="84" spans="1:8" x14ac:dyDescent="0.3">
      <c r="A84" t="s">
        <v>135</v>
      </c>
      <c r="B84" t="s">
        <v>240</v>
      </c>
      <c r="C84" t="s">
        <v>189</v>
      </c>
      <c r="D84" t="s">
        <v>192</v>
      </c>
      <c r="E84">
        <v>117.40859806948163</v>
      </c>
      <c r="F84" t="s">
        <v>14</v>
      </c>
      <c r="G84" t="e">
        <v>#VALUE!</v>
      </c>
      <c r="H84" t="s">
        <v>136</v>
      </c>
    </row>
    <row r="85" spans="1:8" x14ac:dyDescent="0.3">
      <c r="A85" t="s">
        <v>78</v>
      </c>
      <c r="B85">
        <v>109.62</v>
      </c>
      <c r="C85" t="s">
        <v>190</v>
      </c>
      <c r="D85" t="s">
        <v>193</v>
      </c>
      <c r="E85">
        <v>107.36307444718216</v>
      </c>
      <c r="F85" t="s">
        <v>14</v>
      </c>
      <c r="G85">
        <v>-2.0588629381662535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30.74</v>
      </c>
      <c r="C88" t="s">
        <v>194</v>
      </c>
      <c r="D88" t="s">
        <v>196</v>
      </c>
      <c r="E88">
        <v>30.740001888310587</v>
      </c>
      <c r="F88" t="s">
        <v>14</v>
      </c>
      <c r="G88">
        <v>6.1428451164032542E-6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29.4</v>
      </c>
      <c r="C91" t="s">
        <v>195</v>
      </c>
      <c r="D91" t="s">
        <v>197</v>
      </c>
      <c r="E91">
        <v>29.400128708572652</v>
      </c>
      <c r="F91" t="s">
        <v>14</v>
      </c>
      <c r="G91">
        <v>4.3778426072491337E-4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294.18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1.0529999999999999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1.1020000000000001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35.950000000000003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36.68</v>
      </c>
      <c r="E98" t="s">
        <v>241</v>
      </c>
      <c r="F98" t="s">
        <v>14</v>
      </c>
      <c r="G98" t="e">
        <v>#VALUE!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0.49</v>
      </c>
      <c r="C100" t="s">
        <v>244</v>
      </c>
      <c r="D100" t="s">
        <v>243</v>
      </c>
      <c r="E100">
        <v>0.53212099999999996</v>
      </c>
      <c r="F100" t="s">
        <v>33</v>
      </c>
      <c r="G100">
        <v>8.5961224489795836</v>
      </c>
    </row>
    <row r="101" spans="1:8" x14ac:dyDescent="0.3">
      <c r="A101" t="s">
        <v>265</v>
      </c>
      <c r="B101">
        <v>0.22</v>
      </c>
      <c r="C101" t="s">
        <v>250</v>
      </c>
      <c r="D101" t="s">
        <v>251</v>
      </c>
      <c r="E101">
        <v>0.21737999999999999</v>
      </c>
      <c r="F101" t="s">
        <v>43</v>
      </c>
      <c r="G101">
        <v>-1.190909090909096</v>
      </c>
      <c r="H101" t="s">
        <v>256</v>
      </c>
    </row>
    <row r="102" spans="1:8" x14ac:dyDescent="0.3">
      <c r="A102" t="s">
        <v>261</v>
      </c>
      <c r="B102">
        <v>58.83940620782726</v>
      </c>
      <c r="C102" t="s">
        <v>247</v>
      </c>
      <c r="D102" t="s">
        <v>252</v>
      </c>
      <c r="E102">
        <v>56.2</v>
      </c>
      <c r="F102" t="s">
        <v>229</v>
      </c>
      <c r="G102">
        <v>-4.4857798165137552</v>
      </c>
      <c r="H102" t="s">
        <v>257</v>
      </c>
    </row>
    <row r="103" spans="1:8" x14ac:dyDescent="0.3">
      <c r="A103" t="s">
        <v>261</v>
      </c>
      <c r="B103">
        <v>4.0124582869855399</v>
      </c>
      <c r="C103" t="s">
        <v>248</v>
      </c>
      <c r="D103" t="s">
        <v>253</v>
      </c>
      <c r="E103">
        <v>3.7668499999999998</v>
      </c>
      <c r="F103" t="s">
        <v>255</v>
      </c>
      <c r="G103">
        <v>-6.1211424373475403</v>
      </c>
      <c r="H103" t="s">
        <v>258</v>
      </c>
    </row>
    <row r="104" spans="1:8" x14ac:dyDescent="0.3">
      <c r="C104" t="s">
        <v>249</v>
      </c>
      <c r="D104" t="s">
        <v>254</v>
      </c>
      <c r="E104">
        <v>-2.69E-5</v>
      </c>
      <c r="F104" t="s">
        <v>229</v>
      </c>
      <c r="H104" t="s">
        <v>259</v>
      </c>
    </row>
    <row r="105" spans="1:8" x14ac:dyDescent="0.3">
      <c r="B105" s="9"/>
    </row>
    <row r="126" spans="1:4" x14ac:dyDescent="0.3">
      <c r="A126" s="3"/>
    </row>
    <row r="127" spans="1:4" x14ac:dyDescent="0.3">
      <c r="C127" s="10"/>
      <c r="D127" s="10"/>
    </row>
    <row r="131" spans="1:4" x14ac:dyDescent="0.3">
      <c r="A131" s="3"/>
    </row>
    <row r="137" spans="1:4" x14ac:dyDescent="0.3">
      <c r="A137" s="1"/>
      <c r="C137" s="1"/>
      <c r="D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  <row r="143" spans="1:4" x14ac:dyDescent="0.3">
      <c r="A143" s="1"/>
    </row>
    <row r="144" spans="1:4" x14ac:dyDescent="0.3">
      <c r="A144" s="1"/>
    </row>
  </sheetData>
  <conditionalFormatting sqref="G13:G104">
    <cfRule type="expression" dxfId="41" priority="1">
      <formula>ABS(G13)&gt;10</formula>
    </cfRule>
    <cfRule type="expression" dxfId="40" priority="2">
      <formula>AND(ABS(G13)&gt;=5,ABS(G13)&lt;10)</formula>
    </cfRule>
    <cfRule type="expression" dxfId="39" priority="3">
      <formula>ABS(G13)&lt;5</formula>
    </cfRule>
  </conditionalFormatting>
  <conditionalFormatting sqref="H101:H104">
    <cfRule type="expression" dxfId="38" priority="4">
      <formula>ABS(H101)&gt;10</formula>
    </cfRule>
    <cfRule type="expression" dxfId="37" priority="5">
      <formula>AND(ABS(H101)&gt;=5,ABS(H101)&lt;10)</formula>
    </cfRule>
    <cfRule type="expression" dxfId="36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657-0390-46B6-BB37-2BA678C14B3B}">
  <dimension ref="A1:J138"/>
  <sheetViews>
    <sheetView topLeftCell="A64" zoomScale="55" zoomScaleNormal="55" workbookViewId="0">
      <selection activeCell="B103" sqref="B103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5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A'!G:G),"")</f>
        <v>125.94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3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A'!G:G),"")</f>
        <v>240.87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A'!G:G),"")</f>
        <v>52.17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A'!G:G),"")</f>
        <v>52.17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A'!G:G),"")</f>
        <v>10.35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A'!G:G),"")</f>
        <v>44.38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0.27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A'!G:G),"")</f>
        <v>1012.1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A'!G:G),"")</f>
        <v>0.9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A'!G:G),"")</f>
        <v>30.62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A'!G:G),"")</f>
        <v>25.99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A'!G:G),"")</f>
        <v>125.94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A'!G:G),"")</f>
        <v>1029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A'!G:G),"")</f>
        <v>47.16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A'!G:G),"")</f>
        <v>240.87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A'!G:G),"")</f>
        <v>52.17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A'!G:G),"")</f>
        <v>52.17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A'!G:G),"")</f>
        <v>3.9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A'!G:G),"")</f>
        <v>0.44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A'!G:G),"")</f>
        <v>1012.1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A'!G:G),"")</f>
        <v>1020.73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A'!G:G),"")</f>
        <v>44.38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A'!G:G),"")</f>
        <v>45.55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A'!G:G),"")</f>
        <v>47.05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A'!G:G),"")</f>
        <v>50.02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A'!G:G),"")</f>
        <v>51.8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A'!G:G),"")</f>
        <v>53.27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A'!G:G),"")</f>
        <v>57.25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A'!G:G),"")</f>
        <v>58.54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A'!G:G),"")</f>
        <v>58.36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A'!G:G),"")</f>
        <v>50.35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A'!G:G),"")</f>
        <v>6.6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A'!G:G),"")</f>
        <v>11.67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18.27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A'!G:G),"")</f>
        <v>246.13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A'!G:G),"")</f>
        <v>45.45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A'!G:G),"")</f>
        <v>45.92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A'!G:G),"")</f>
        <v>44.87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A'!G:G),"")</f>
        <v>118.29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A'!G:G),"")</f>
        <v>111.21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A'!G:G),"")</f>
        <v>109.76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A'!G:G),"")</f>
        <v>109.46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A'!G:G),"")</f>
        <v>109.2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A'!G:G),"")</f>
        <v>110.1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A'!G:G),"")</f>
        <v>114.97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A'!G:G),"")</f>
        <v>108.39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A'!G:G),"")</f>
        <v>5.56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A'!G:G),"")</f>
        <v>10.35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A'!G:G),"")</f>
        <v>53.67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A'!G:G),"")</f>
        <v>0.9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A'!G:G),"")</f>
        <v>22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A'!G:G),"")</f>
        <v>118.85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A'!G:G),"")</f>
        <v>7.21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A'!G:G),"")</f>
        <v>0.88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A'!G:G),"")</f>
        <v>47.98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B84" t="str">
        <f>IFERROR(_xlfn.XLOOKUP(A84,'Appendix A'!A:A,'Appendix A'!G:G),"")</f>
        <v/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A'!G:G),"")</f>
        <v>112.31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A'!G:G),"")</f>
        <v>30.62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A'!G:G),"")</f>
        <v>25.99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A'!G:G),"")</f>
        <v>264.18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A'!G:G),"")</f>
        <v>1.069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A'!G:G),"")</f>
        <v>1.0920000000000001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A'!G:G),"")</f>
        <v>38.44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A'!G:G),"")</f>
        <v>39.07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0.41</v>
      </c>
      <c r="C100" t="s">
        <v>244</v>
      </c>
      <c r="D100" t="s">
        <v>243</v>
      </c>
      <c r="E100" t="e" cm="1">
        <f t="array" ref="E100">_xll.ReadKSpice(_xlfn.CONCAT("/",$B$1,"/",$B$2,"/",D100,"@V_Unit=",F100))</f>
        <v>#N/A</v>
      </c>
      <c r="F100" t="s">
        <v>33</v>
      </c>
      <c r="G100" t="e">
        <f>100*(E100-B100)/B100</f>
        <v>#N/A</v>
      </c>
    </row>
    <row r="101" spans="1:8" x14ac:dyDescent="0.3">
      <c r="A101" t="s">
        <v>265</v>
      </c>
      <c r="B101">
        <v>0.27</v>
      </c>
      <c r="C101" t="s">
        <v>250</v>
      </c>
      <c r="D101" t="s">
        <v>251</v>
      </c>
      <c r="E101" t="e" cm="1">
        <f t="array" ref="E101">_xll.ReadKSpice(_xlfn.CONCAT("/",$B$1,"/",$B$2,"/",D101,"@V_Unit=",F101))</f>
        <v>#N/A</v>
      </c>
      <c r="F101" t="s">
        <v>43</v>
      </c>
      <c r="G101" t="e">
        <f t="shared" ref="G101:G104" si="5">100*(E101-B101)/B101</f>
        <v>#N/A</v>
      </c>
      <c r="H101" t="s">
        <v>256</v>
      </c>
    </row>
    <row r="102" spans="1:8" x14ac:dyDescent="0.3">
      <c r="A102" t="s">
        <v>261</v>
      </c>
      <c r="B102">
        <f>((B34-B37)/B34)*100</f>
        <v>88.717948717948715</v>
      </c>
      <c r="C102" t="s">
        <v>247</v>
      </c>
      <c r="D102" t="s">
        <v>252</v>
      </c>
      <c r="E102" t="e" cm="1">
        <f t="array" ref="E102">_xll.ReadKSpice(_xlfn.CONCAT("/",$B$1,"/",$B$2,"/",D102,"@V_Unit=",F102))</f>
        <v>#N/A</v>
      </c>
      <c r="F102" t="s">
        <v>229</v>
      </c>
      <c r="G102" t="e">
        <f t="shared" si="5"/>
        <v>#N/A</v>
      </c>
      <c r="H102" t="s">
        <v>257</v>
      </c>
    </row>
    <row r="103" spans="1:8" x14ac:dyDescent="0.3">
      <c r="A103" t="s">
        <v>261</v>
      </c>
      <c r="B103">
        <f>(3.6*B17)/B79</f>
        <v>5.1678224687933421</v>
      </c>
      <c r="C103" t="s">
        <v>248</v>
      </c>
      <c r="D103" t="s">
        <v>253</v>
      </c>
      <c r="E103" t="e" cm="1">
        <f t="array" ref="E103">_xll.ReadKSpice(_xlfn.CONCAT("/",$B$1,"/",$B$2,"/",D103,"@V_Unit=",F103))</f>
        <v>#N/A</v>
      </c>
      <c r="F103" t="s">
        <v>255</v>
      </c>
      <c r="G103" t="e">
        <f t="shared" si="5"/>
        <v>#N/A</v>
      </c>
      <c r="H103" t="s">
        <v>258</v>
      </c>
    </row>
    <row r="104" spans="1:8" x14ac:dyDescent="0.3">
      <c r="C104" t="s">
        <v>249</v>
      </c>
      <c r="D104" t="s">
        <v>254</v>
      </c>
      <c r="E104" t="e" cm="1">
        <f t="array" ref="E104">_xll.ReadKSpice(_xlfn.CONCAT("/",$B$1,"/",$B$2,"/",D104,"@V_Unit=",F104))</f>
        <v>#N/A</v>
      </c>
      <c r="F104" t="s">
        <v>229</v>
      </c>
      <c r="G104" t="e">
        <f t="shared" si="5"/>
        <v>#N/A</v>
      </c>
      <c r="H104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104">
    <cfRule type="expression" dxfId="35" priority="1">
      <formula>ABS(G13)&gt;10</formula>
    </cfRule>
    <cfRule type="expression" dxfId="34" priority="2">
      <formula>AND(ABS(G13)&gt;=5,ABS(G13)&lt;10)</formula>
    </cfRule>
    <cfRule type="expression" dxfId="33" priority="3">
      <formula>ABS(G13)&lt;5</formula>
    </cfRule>
  </conditionalFormatting>
  <conditionalFormatting sqref="H101:H104">
    <cfRule type="expression" dxfId="32" priority="4">
      <formula>ABS(H101)&gt;10</formula>
    </cfRule>
    <cfRule type="expression" dxfId="31" priority="5">
      <formula>AND(ABS(H101)&gt;=5,ABS(H101)&lt;10)</formula>
    </cfRule>
    <cfRule type="expression" dxfId="30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A264-0273-4233-8E72-17A823EC068B}">
  <dimension ref="A1:J144"/>
  <sheetViews>
    <sheetView topLeftCell="D70" zoomScale="55" zoomScaleNormal="55" workbookViewId="0">
      <selection activeCell="H104" sqref="A99:H104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5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AVERAGE(ABS(G100:G103))</f>
        <v>7.2986774800425769</v>
      </c>
      <c r="J9" s="2"/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AVERAGE(ABS(G26:G31),ABS(G34),ABS(G37:G49),ABS(G52),ABS(G55),ABS(G57:G58),ABS(G61:G68),ABS(G71:G76),ABS(G79),ABS(G80),ABS(G83),ABS(G85),ABS(G88),ABS(G91),ABS(G100:G102))</f>
        <v>5.6683995700951195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125.94</v>
      </c>
      <c r="C13" t="s">
        <v>30</v>
      </c>
      <c r="D13" t="s">
        <v>111</v>
      </c>
      <c r="E13">
        <v>125.94</v>
      </c>
      <c r="F13" t="s">
        <v>31</v>
      </c>
      <c r="G13">
        <v>0</v>
      </c>
      <c r="H13" t="s">
        <v>35</v>
      </c>
    </row>
    <row r="14" spans="1:10" x14ac:dyDescent="0.3">
      <c r="A14" t="s">
        <v>58</v>
      </c>
      <c r="B14">
        <v>240.87</v>
      </c>
      <c r="C14" t="s">
        <v>32</v>
      </c>
      <c r="D14" t="s">
        <v>112</v>
      </c>
      <c r="E14">
        <v>240.9</v>
      </c>
      <c r="F14" t="s">
        <v>33</v>
      </c>
      <c r="G14">
        <v>1.2454851164529056E-2</v>
      </c>
      <c r="H14" t="s">
        <v>36</v>
      </c>
    </row>
    <row r="15" spans="1:10" x14ac:dyDescent="0.3">
      <c r="A15" t="s">
        <v>25</v>
      </c>
      <c r="B15">
        <v>52.17</v>
      </c>
      <c r="C15" t="s">
        <v>107</v>
      </c>
      <c r="D15" t="s">
        <v>113</v>
      </c>
      <c r="E15">
        <v>52.170000000000016</v>
      </c>
      <c r="F15" t="s">
        <v>14</v>
      </c>
      <c r="G15">
        <v>2.7239514501058085E-14</v>
      </c>
      <c r="H15" t="s">
        <v>37</v>
      </c>
    </row>
    <row r="16" spans="1:10" x14ac:dyDescent="0.3">
      <c r="A16" t="s">
        <v>25</v>
      </c>
      <c r="B16">
        <v>52.17</v>
      </c>
      <c r="C16" t="s">
        <v>38</v>
      </c>
      <c r="D16" t="s">
        <v>220</v>
      </c>
      <c r="E16">
        <v>52.170000000000016</v>
      </c>
      <c r="F16" t="s">
        <v>14</v>
      </c>
      <c r="G16">
        <v>2.7239514501058085E-14</v>
      </c>
      <c r="H16" t="s">
        <v>108</v>
      </c>
    </row>
    <row r="17" spans="1:8" x14ac:dyDescent="0.3">
      <c r="A17" t="s">
        <v>63</v>
      </c>
      <c r="B17">
        <v>10.35</v>
      </c>
      <c r="C17" t="s">
        <v>40</v>
      </c>
      <c r="D17" t="s">
        <v>219</v>
      </c>
      <c r="E17">
        <v>10.4</v>
      </c>
      <c r="F17" t="s">
        <v>41</v>
      </c>
      <c r="G17">
        <v>0.48309178743962039</v>
      </c>
      <c r="H17" t="s">
        <v>39</v>
      </c>
    </row>
    <row r="18" spans="1:8" x14ac:dyDescent="0.3">
      <c r="A18" t="s">
        <v>16</v>
      </c>
      <c r="B18">
        <v>44.38</v>
      </c>
      <c r="C18" t="s">
        <v>231</v>
      </c>
      <c r="D18" t="s">
        <v>232</v>
      </c>
      <c r="E18">
        <v>44.379999999999995</v>
      </c>
      <c r="F18" t="s">
        <v>14</v>
      </c>
      <c r="G18">
        <v>-1.6010426673278506E-14</v>
      </c>
      <c r="H18" t="s">
        <v>42</v>
      </c>
    </row>
    <row r="19" spans="1:8" x14ac:dyDescent="0.3">
      <c r="B19">
        <v>0.27</v>
      </c>
      <c r="C19" t="s">
        <v>105</v>
      </c>
      <c r="D19" t="s">
        <v>114</v>
      </c>
      <c r="E19">
        <v>0.26998389560228231</v>
      </c>
      <c r="F19" t="s">
        <v>43</v>
      </c>
      <c r="G19">
        <v>-5.9645917472995868E-3</v>
      </c>
      <c r="H19" t="s">
        <v>44</v>
      </c>
    </row>
    <row r="20" spans="1:8" x14ac:dyDescent="0.3">
      <c r="A20" t="s">
        <v>47</v>
      </c>
      <c r="B20">
        <v>1012.1</v>
      </c>
      <c r="C20" t="s">
        <v>46</v>
      </c>
      <c r="D20" t="s">
        <v>115</v>
      </c>
      <c r="E20">
        <v>1012.1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0.9</v>
      </c>
      <c r="C21" t="s">
        <v>49</v>
      </c>
      <c r="D21" t="s">
        <v>116</v>
      </c>
      <c r="E21">
        <v>0.90000000000000013</v>
      </c>
      <c r="F21" t="s">
        <v>51</v>
      </c>
      <c r="G21">
        <v>1.2335811384723962E-14</v>
      </c>
      <c r="H21" t="s">
        <v>48</v>
      </c>
    </row>
    <row r="22" spans="1:8" x14ac:dyDescent="0.3">
      <c r="A22" t="s">
        <v>89</v>
      </c>
      <c r="B22">
        <v>30.62</v>
      </c>
      <c r="C22" t="s">
        <v>53</v>
      </c>
      <c r="D22" t="s">
        <v>117</v>
      </c>
      <c r="E22">
        <v>30.620000000000005</v>
      </c>
      <c r="F22" t="s">
        <v>14</v>
      </c>
      <c r="G22">
        <v>1.1602592027434685E-14</v>
      </c>
      <c r="H22" t="s">
        <v>52</v>
      </c>
    </row>
    <row r="23" spans="1:8" x14ac:dyDescent="0.3">
      <c r="A23" t="s">
        <v>90</v>
      </c>
      <c r="B23">
        <v>25.99</v>
      </c>
      <c r="C23" t="s">
        <v>55</v>
      </c>
      <c r="D23" t="s">
        <v>118</v>
      </c>
      <c r="E23">
        <v>25.990000000000009</v>
      </c>
      <c r="F23" t="s">
        <v>14</v>
      </c>
      <c r="G23">
        <v>4.1008622687193164E-14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125.94</v>
      </c>
      <c r="C26" t="s">
        <v>12</v>
      </c>
      <c r="D26" t="s">
        <v>119</v>
      </c>
      <c r="E26">
        <v>125.94000015192432</v>
      </c>
      <c r="F26" t="s">
        <v>31</v>
      </c>
      <c r="G26">
        <v>1.2063230551399334E-7</v>
      </c>
    </row>
    <row r="27" spans="1:8" x14ac:dyDescent="0.3">
      <c r="A27" t="s">
        <v>67</v>
      </c>
      <c r="B27">
        <v>1029</v>
      </c>
      <c r="C27" t="s">
        <v>235</v>
      </c>
      <c r="D27" t="s">
        <v>236</v>
      </c>
      <c r="E27">
        <v>1019.3269125800068</v>
      </c>
      <c r="F27" t="s">
        <v>218</v>
      </c>
      <c r="G27">
        <v>-0.94004736831809332</v>
      </c>
    </row>
    <row r="28" spans="1:8" x14ac:dyDescent="0.3">
      <c r="A28" t="s">
        <v>13</v>
      </c>
      <c r="B28">
        <v>47.16</v>
      </c>
      <c r="C28" t="s">
        <v>233</v>
      </c>
      <c r="D28" t="s">
        <v>234</v>
      </c>
      <c r="E28">
        <v>44.379999998477899</v>
      </c>
      <c r="F28" t="s">
        <v>14</v>
      </c>
      <c r="G28">
        <v>-5.8948261270612754</v>
      </c>
    </row>
    <row r="29" spans="1:8" x14ac:dyDescent="0.3">
      <c r="A29" t="s">
        <v>58</v>
      </c>
      <c r="B29">
        <v>240.87</v>
      </c>
      <c r="C29" t="s">
        <v>120</v>
      </c>
      <c r="D29" t="s">
        <v>121</v>
      </c>
      <c r="E29">
        <v>240.9000000396945</v>
      </c>
      <c r="F29" t="s">
        <v>33</v>
      </c>
      <c r="G29">
        <v>1.2454867644164692E-2</v>
      </c>
    </row>
    <row r="30" spans="1:8" x14ac:dyDescent="0.3">
      <c r="A30" t="s">
        <v>25</v>
      </c>
      <c r="B30">
        <v>52.17</v>
      </c>
      <c r="C30" t="s">
        <v>109</v>
      </c>
      <c r="D30" t="s">
        <v>110</v>
      </c>
      <c r="E30">
        <v>52.175650331421537</v>
      </c>
      <c r="F30" t="s">
        <v>14</v>
      </c>
      <c r="G30">
        <v>1.0830614187339114E-2</v>
      </c>
      <c r="H30" t="s">
        <v>37</v>
      </c>
    </row>
    <row r="31" spans="1:8" x14ac:dyDescent="0.3">
      <c r="A31" t="s">
        <v>25</v>
      </c>
      <c r="B31">
        <v>52.17</v>
      </c>
      <c r="C31" t="s">
        <v>221</v>
      </c>
      <c r="D31" t="s">
        <v>222</v>
      </c>
      <c r="E31">
        <v>44.999999999999829</v>
      </c>
      <c r="F31" t="s">
        <v>14</v>
      </c>
      <c r="G31">
        <v>-13.743530764807691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3.9</v>
      </c>
      <c r="C34" t="s">
        <v>122</v>
      </c>
      <c r="D34" t="s">
        <v>123</v>
      </c>
      <c r="E34">
        <v>4.0520019569490717</v>
      </c>
      <c r="F34" t="s">
        <v>229</v>
      </c>
      <c r="G34">
        <v>3.897486075617226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0.10442055521789108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6.8256438254670121E-2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0.44</v>
      </c>
      <c r="C37" t="s">
        <v>128</v>
      </c>
      <c r="E37">
        <v>0.17267699347256121</v>
      </c>
      <c r="F37" t="s">
        <v>229</v>
      </c>
      <c r="G37">
        <v>-60.755228756236093</v>
      </c>
      <c r="H37" t="s">
        <v>230</v>
      </c>
    </row>
    <row r="38" spans="1:8" x14ac:dyDescent="0.3">
      <c r="A38" t="s">
        <v>47</v>
      </c>
      <c r="B38">
        <v>1012.1</v>
      </c>
      <c r="C38" t="s">
        <v>131</v>
      </c>
      <c r="D38" t="s">
        <v>133</v>
      </c>
      <c r="E38">
        <v>1013.9362787839372</v>
      </c>
      <c r="F38" t="s">
        <v>218</v>
      </c>
      <c r="G38">
        <v>0.18143254460400476</v>
      </c>
    </row>
    <row r="39" spans="1:8" x14ac:dyDescent="0.3">
      <c r="A39" t="s">
        <v>66</v>
      </c>
      <c r="B39">
        <v>1020.73</v>
      </c>
      <c r="C39" t="s">
        <v>132</v>
      </c>
      <c r="D39" t="s">
        <v>134</v>
      </c>
      <c r="E39">
        <v>1018.9954672429665</v>
      </c>
      <c r="F39" t="s">
        <v>218</v>
      </c>
      <c r="G39">
        <v>-0.16993061407360893</v>
      </c>
    </row>
    <row r="40" spans="1:8" x14ac:dyDescent="0.3">
      <c r="A40" t="s">
        <v>16</v>
      </c>
      <c r="B40">
        <v>44.38</v>
      </c>
      <c r="C40" t="s">
        <v>233</v>
      </c>
      <c r="D40" t="s">
        <v>234</v>
      </c>
      <c r="E40">
        <v>44.379999998477899</v>
      </c>
      <c r="F40" t="s">
        <v>14</v>
      </c>
      <c r="G40">
        <v>-3.429705570669702E-9</v>
      </c>
      <c r="H40" t="s">
        <v>237</v>
      </c>
    </row>
    <row r="41" spans="1:8" x14ac:dyDescent="0.3">
      <c r="A41" t="s">
        <v>73</v>
      </c>
      <c r="B41">
        <v>45.55</v>
      </c>
      <c r="C41" t="s">
        <v>137</v>
      </c>
      <c r="D41" t="s">
        <v>146</v>
      </c>
      <c r="E41">
        <v>45.446313673367115</v>
      </c>
      <c r="F41" t="s">
        <v>14</v>
      </c>
      <c r="G41">
        <v>-0.22763189161993908</v>
      </c>
    </row>
    <row r="42" spans="1:8" x14ac:dyDescent="0.3">
      <c r="A42" t="s">
        <v>17</v>
      </c>
      <c r="B42">
        <v>47.05</v>
      </c>
      <c r="C42" t="s">
        <v>18</v>
      </c>
      <c r="D42" t="s">
        <v>147</v>
      </c>
      <c r="E42">
        <v>45.402009994283105</v>
      </c>
      <c r="F42" t="s">
        <v>14</v>
      </c>
      <c r="G42">
        <v>-3.5026355063058281</v>
      </c>
    </row>
    <row r="43" spans="1:8" x14ac:dyDescent="0.3">
      <c r="A43" t="s">
        <v>19</v>
      </c>
      <c r="B43">
        <v>50.02</v>
      </c>
      <c r="C43" t="s">
        <v>138</v>
      </c>
      <c r="D43" t="s">
        <v>148</v>
      </c>
      <c r="E43">
        <v>52.598479667072468</v>
      </c>
      <c r="F43" t="s">
        <v>14</v>
      </c>
      <c r="G43">
        <v>5.1548973751948504</v>
      </c>
    </row>
    <row r="44" spans="1:8" x14ac:dyDescent="0.3">
      <c r="A44" t="s">
        <v>20</v>
      </c>
      <c r="B44">
        <v>51.8</v>
      </c>
      <c r="C44" t="s">
        <v>139</v>
      </c>
      <c r="D44" t="s">
        <v>149</v>
      </c>
      <c r="E44">
        <v>52.748094812721774</v>
      </c>
      <c r="F44" t="s">
        <v>14</v>
      </c>
      <c r="G44">
        <v>1.8302988662582573</v>
      </c>
    </row>
    <row r="45" spans="1:8" x14ac:dyDescent="0.3">
      <c r="A45" t="s">
        <v>21</v>
      </c>
      <c r="B45">
        <v>53.27</v>
      </c>
      <c r="C45" t="s">
        <v>140</v>
      </c>
      <c r="D45" t="s">
        <v>150</v>
      </c>
      <c r="E45">
        <v>52.723800706032705</v>
      </c>
      <c r="F45" t="s">
        <v>14</v>
      </c>
      <c r="G45">
        <v>-1.0253412689455568</v>
      </c>
    </row>
    <row r="46" spans="1:8" x14ac:dyDescent="0.3">
      <c r="A46" t="s">
        <v>22</v>
      </c>
      <c r="B46">
        <v>57.25</v>
      </c>
      <c r="C46" t="s">
        <v>141</v>
      </c>
      <c r="D46" t="s">
        <v>151</v>
      </c>
      <c r="E46">
        <v>52.697841552429111</v>
      </c>
      <c r="F46" t="s">
        <v>14</v>
      </c>
      <c r="G46">
        <v>-7.9513684673727321</v>
      </c>
    </row>
    <row r="47" spans="1:8" x14ac:dyDescent="0.3">
      <c r="A47" t="s">
        <v>23</v>
      </c>
      <c r="B47">
        <v>58.54</v>
      </c>
      <c r="C47" t="s">
        <v>142</v>
      </c>
      <c r="D47" t="s">
        <v>152</v>
      </c>
      <c r="E47">
        <v>52.667982149581633</v>
      </c>
      <c r="F47" t="s">
        <v>14</v>
      </c>
      <c r="G47">
        <v>-10.030778699040598</v>
      </c>
    </row>
    <row r="48" spans="1:8" x14ac:dyDescent="0.3">
      <c r="A48" t="s">
        <v>24</v>
      </c>
      <c r="B48">
        <v>58.36</v>
      </c>
      <c r="C48" t="s">
        <v>143</v>
      </c>
      <c r="D48" t="s">
        <v>153</v>
      </c>
      <c r="E48">
        <v>52.622975334931368</v>
      </c>
      <c r="F48" t="s">
        <v>14</v>
      </c>
      <c r="G48">
        <v>-9.8304055261628367</v>
      </c>
    </row>
    <row r="49" spans="1:8" x14ac:dyDescent="0.3">
      <c r="A49" t="s">
        <v>83</v>
      </c>
      <c r="B49">
        <v>50.35</v>
      </c>
      <c r="C49" t="s">
        <v>144</v>
      </c>
      <c r="D49" t="s">
        <v>154</v>
      </c>
      <c r="E49">
        <v>52.192971460948343</v>
      </c>
      <c r="F49" t="s">
        <v>14</v>
      </c>
      <c r="G49">
        <v>3.6603206771565864</v>
      </c>
    </row>
    <row r="50" spans="1:8" x14ac:dyDescent="0.3">
      <c r="A50" t="s">
        <v>70</v>
      </c>
      <c r="B50">
        <v>6.6</v>
      </c>
      <c r="F50" t="s">
        <v>217</v>
      </c>
      <c r="G50" t="s">
        <v>202</v>
      </c>
    </row>
    <row r="51" spans="1:8" x14ac:dyDescent="0.3">
      <c r="A51" t="s">
        <v>64</v>
      </c>
      <c r="B51">
        <v>11.67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18.27</v>
      </c>
      <c r="C52" t="s">
        <v>145</v>
      </c>
      <c r="D52" t="s">
        <v>155</v>
      </c>
      <c r="E52">
        <v>17.450556115021797</v>
      </c>
      <c r="F52" t="s">
        <v>217</v>
      </c>
      <c r="G52">
        <v>-4.4851882045878622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246.13</v>
      </c>
      <c r="C55" t="s">
        <v>156</v>
      </c>
      <c r="D55" t="s">
        <v>157</v>
      </c>
      <c r="E55">
        <v>239.08685011495879</v>
      </c>
      <c r="F55" t="s">
        <v>33</v>
      </c>
      <c r="G55">
        <v>-2.8615568541182315</v>
      </c>
    </row>
    <row r="56" spans="1:8" x14ac:dyDescent="0.3">
      <c r="A56" t="s">
        <v>74</v>
      </c>
      <c r="B56">
        <v>45.45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45.92</v>
      </c>
      <c r="C57" t="s">
        <v>158</v>
      </c>
      <c r="D57" t="s">
        <v>159</v>
      </c>
      <c r="E57">
        <v>52.427043472293349</v>
      </c>
      <c r="F57" t="s">
        <v>14</v>
      </c>
      <c r="G57">
        <v>14.170390836875754</v>
      </c>
    </row>
    <row r="58" spans="1:8" x14ac:dyDescent="0.3">
      <c r="A58" t="s">
        <v>76</v>
      </c>
      <c r="B58">
        <v>44.87</v>
      </c>
      <c r="C58" t="s">
        <v>161</v>
      </c>
      <c r="D58" t="s">
        <v>160</v>
      </c>
      <c r="E58">
        <v>45.499435836375085</v>
      </c>
      <c r="F58" t="s">
        <v>14</v>
      </c>
      <c r="G58">
        <v>1.4027988330178012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118.29</v>
      </c>
      <c r="C61" t="s">
        <v>162</v>
      </c>
      <c r="D61" t="s">
        <v>169</v>
      </c>
      <c r="E61">
        <v>111.98732733209289</v>
      </c>
      <c r="F61" t="s">
        <v>14</v>
      </c>
      <c r="G61">
        <v>-5.3281534093390119</v>
      </c>
    </row>
    <row r="62" spans="1:8" x14ac:dyDescent="0.3">
      <c r="A62" t="s">
        <v>85</v>
      </c>
      <c r="B62">
        <v>111.21</v>
      </c>
      <c r="C62" t="s">
        <v>163</v>
      </c>
      <c r="D62" t="s">
        <v>170</v>
      </c>
      <c r="E62">
        <v>109.87426264264985</v>
      </c>
      <c r="F62" t="s">
        <v>14</v>
      </c>
      <c r="G62">
        <v>-1.2010946473789592</v>
      </c>
    </row>
    <row r="63" spans="1:8" x14ac:dyDescent="0.3">
      <c r="A63" t="s">
        <v>86</v>
      </c>
      <c r="B63">
        <v>109.76</v>
      </c>
      <c r="C63" t="s">
        <v>164</v>
      </c>
      <c r="D63" t="s">
        <v>171</v>
      </c>
      <c r="E63">
        <v>108.31349502106912</v>
      </c>
      <c r="F63" t="s">
        <v>14</v>
      </c>
      <c r="G63">
        <v>-1.3178799006294544</v>
      </c>
    </row>
    <row r="64" spans="1:8" x14ac:dyDescent="0.3">
      <c r="A64" t="s">
        <v>87</v>
      </c>
      <c r="B64">
        <v>109.46</v>
      </c>
      <c r="C64" t="s">
        <v>165</v>
      </c>
      <c r="D64" t="s">
        <v>172</v>
      </c>
      <c r="E64">
        <v>107.25326456768124</v>
      </c>
      <c r="F64" t="s">
        <v>14</v>
      </c>
      <c r="G64">
        <v>-2.0160199454766596</v>
      </c>
    </row>
    <row r="65" spans="1:8" x14ac:dyDescent="0.3">
      <c r="A65" t="s">
        <v>88</v>
      </c>
      <c r="B65">
        <v>109.2</v>
      </c>
      <c r="C65" t="s">
        <v>166</v>
      </c>
      <c r="D65" t="s">
        <v>173</v>
      </c>
      <c r="E65">
        <v>106.57868268632393</v>
      </c>
      <c r="F65" t="s">
        <v>14</v>
      </c>
      <c r="G65">
        <v>-2.4004737304725943</v>
      </c>
    </row>
    <row r="66" spans="1:8" x14ac:dyDescent="0.3">
      <c r="A66" t="s">
        <v>79</v>
      </c>
      <c r="B66">
        <v>110.1</v>
      </c>
      <c r="C66" t="s">
        <v>227</v>
      </c>
      <c r="D66" t="s">
        <v>228</v>
      </c>
      <c r="E66">
        <v>105.87459780550938</v>
      </c>
      <c r="F66" t="s">
        <v>14</v>
      </c>
      <c r="G66">
        <v>-3.8377858260586857</v>
      </c>
    </row>
    <row r="67" spans="1:8" x14ac:dyDescent="0.3">
      <c r="A67" t="s">
        <v>81</v>
      </c>
      <c r="B67">
        <v>114.97</v>
      </c>
      <c r="C67" t="s">
        <v>167</v>
      </c>
      <c r="D67" t="s">
        <v>174</v>
      </c>
      <c r="E67">
        <v>113.07074702643871</v>
      </c>
      <c r="F67" t="s">
        <v>14</v>
      </c>
      <c r="G67">
        <v>-1.651955269688866</v>
      </c>
    </row>
    <row r="68" spans="1:8" x14ac:dyDescent="0.3">
      <c r="A68" t="s">
        <v>82</v>
      </c>
      <c r="B68">
        <v>108.39</v>
      </c>
      <c r="C68" t="s">
        <v>168</v>
      </c>
      <c r="D68" t="s">
        <v>175</v>
      </c>
      <c r="E68">
        <v>106.22610176277459</v>
      </c>
      <c r="F68" t="s">
        <v>14</v>
      </c>
      <c r="G68">
        <v>-1.9964002557665934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5.56</v>
      </c>
      <c r="C71" t="s">
        <v>176</v>
      </c>
      <c r="D71" t="s">
        <v>181</v>
      </c>
      <c r="E71">
        <v>7.0097848776634848</v>
      </c>
      <c r="F71" t="s">
        <v>33</v>
      </c>
      <c r="G71">
        <v>26.075267583875632</v>
      </c>
    </row>
    <row r="72" spans="1:8" x14ac:dyDescent="0.3">
      <c r="A72" t="s">
        <v>63</v>
      </c>
      <c r="B72">
        <v>10.35</v>
      </c>
      <c r="C72" t="s">
        <v>177</v>
      </c>
      <c r="D72" t="s">
        <v>182</v>
      </c>
      <c r="E72">
        <v>10.400001598732608</v>
      </c>
      <c r="F72" t="s">
        <v>41</v>
      </c>
      <c r="G72">
        <v>0.4831072341314816</v>
      </c>
    </row>
    <row r="73" spans="1:8" x14ac:dyDescent="0.3">
      <c r="A73" t="s">
        <v>65</v>
      </c>
      <c r="B73">
        <v>53.67</v>
      </c>
      <c r="C73" t="s">
        <v>226</v>
      </c>
      <c r="D73" t="s">
        <v>225</v>
      </c>
      <c r="E73">
        <v>53.717061597650797</v>
      </c>
      <c r="F73" t="s">
        <v>217</v>
      </c>
      <c r="G73">
        <v>8.7686971587098483E-2</v>
      </c>
    </row>
    <row r="74" spans="1:8" x14ac:dyDescent="0.3">
      <c r="A74" t="s">
        <v>68</v>
      </c>
      <c r="B74">
        <v>0.9</v>
      </c>
      <c r="C74" t="s">
        <v>178</v>
      </c>
      <c r="D74" t="s">
        <v>183</v>
      </c>
      <c r="E74">
        <v>0.89996579017987199</v>
      </c>
      <c r="F74" t="s">
        <v>51</v>
      </c>
      <c r="G74">
        <v>-3.801091125336479E-3</v>
      </c>
    </row>
    <row r="75" spans="1:8" x14ac:dyDescent="0.3">
      <c r="A75" t="s">
        <v>80</v>
      </c>
      <c r="B75">
        <v>22</v>
      </c>
      <c r="C75" t="s">
        <v>179</v>
      </c>
      <c r="D75" t="s">
        <v>184</v>
      </c>
      <c r="E75">
        <v>26.571285555455745</v>
      </c>
      <c r="F75" t="s">
        <v>14</v>
      </c>
      <c r="G75">
        <v>20.778570706617021</v>
      </c>
    </row>
    <row r="76" spans="1:8" x14ac:dyDescent="0.3">
      <c r="A76" t="s">
        <v>206</v>
      </c>
      <c r="B76">
        <v>118.85</v>
      </c>
      <c r="C76" t="s">
        <v>180</v>
      </c>
      <c r="D76" t="s">
        <v>185</v>
      </c>
      <c r="E76">
        <v>116.43407156872212</v>
      </c>
      <c r="F76" t="s">
        <v>14</v>
      </c>
      <c r="G76">
        <v>-2.0327542543356136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7.21</v>
      </c>
      <c r="C79" t="s">
        <v>186</v>
      </c>
      <c r="D79" t="s">
        <v>187</v>
      </c>
      <c r="E79">
        <v>8.279462623842031</v>
      </c>
      <c r="F79" t="s">
        <v>33</v>
      </c>
      <c r="G79">
        <v>14.833046100444259</v>
      </c>
    </row>
    <row r="80" spans="1:8" x14ac:dyDescent="0.3">
      <c r="A80" t="s">
        <v>69</v>
      </c>
      <c r="B80">
        <v>0.88</v>
      </c>
      <c r="C80" t="s">
        <v>223</v>
      </c>
      <c r="D80" t="s">
        <v>224</v>
      </c>
      <c r="E80">
        <v>0.89344688600445243</v>
      </c>
      <c r="F80" t="s">
        <v>51</v>
      </c>
      <c r="G80">
        <v>1.5280552277786852</v>
      </c>
    </row>
    <row r="81" spans="1:8" x14ac:dyDescent="0.3">
      <c r="G81" t="s">
        <v>202</v>
      </c>
    </row>
    <row r="82" spans="1:8" x14ac:dyDescent="0.3">
      <c r="A82" s="6" t="s">
        <v>99</v>
      </c>
      <c r="B82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47.98</v>
      </c>
      <c r="C83" t="s">
        <v>188</v>
      </c>
      <c r="D83" t="s">
        <v>191</v>
      </c>
      <c r="E83">
        <v>46.534477924165742</v>
      </c>
      <c r="F83" t="s">
        <v>14</v>
      </c>
      <c r="G83">
        <v>-3.0127596411718529</v>
      </c>
    </row>
    <row r="84" spans="1:8" x14ac:dyDescent="0.3">
      <c r="A84" t="s">
        <v>135</v>
      </c>
      <c r="B84" t="s">
        <v>240</v>
      </c>
      <c r="C84" t="s">
        <v>189</v>
      </c>
      <c r="D84" t="s">
        <v>192</v>
      </c>
      <c r="E84">
        <v>116.43407156872212</v>
      </c>
      <c r="F84" t="s">
        <v>14</v>
      </c>
      <c r="G84" t="e">
        <v>#VALUE!</v>
      </c>
      <c r="H84" t="s">
        <v>136</v>
      </c>
    </row>
    <row r="85" spans="1:8" x14ac:dyDescent="0.3">
      <c r="A85" t="s">
        <v>78</v>
      </c>
      <c r="B85">
        <v>112.31</v>
      </c>
      <c r="C85" t="s">
        <v>190</v>
      </c>
      <c r="D85" t="s">
        <v>193</v>
      </c>
      <c r="E85">
        <v>110.04112556321263</v>
      </c>
      <c r="F85" t="s">
        <v>14</v>
      </c>
      <c r="G85">
        <v>-2.0201891521568611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30.62</v>
      </c>
      <c r="C88" t="s">
        <v>194</v>
      </c>
      <c r="D88" t="s">
        <v>196</v>
      </c>
      <c r="E88">
        <v>30.620272552215795</v>
      </c>
      <c r="F88" t="s">
        <v>14</v>
      </c>
      <c r="G88">
        <v>8.9011174328480964E-4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25.99</v>
      </c>
      <c r="C91" t="s">
        <v>195</v>
      </c>
      <c r="D91" t="s">
        <v>197</v>
      </c>
      <c r="E91">
        <v>27.794783487530935</v>
      </c>
      <c r="F91" t="s">
        <v>14</v>
      </c>
      <c r="G91">
        <v>6.9441457773410438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264.18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1.069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1.0920000000000001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38.44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39.07</v>
      </c>
      <c r="E98" t="s">
        <v>241</v>
      </c>
      <c r="F98" t="s">
        <v>14</v>
      </c>
      <c r="G98" t="e">
        <v>#VALUE!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0.41</v>
      </c>
      <c r="C100" t="s">
        <v>244</v>
      </c>
      <c r="D100" t="s">
        <v>243</v>
      </c>
      <c r="E100">
        <v>0.44325599999999998</v>
      </c>
      <c r="F100" t="s">
        <v>33</v>
      </c>
      <c r="G100">
        <v>8.1112195121951238</v>
      </c>
    </row>
    <row r="101" spans="1:8" x14ac:dyDescent="0.3">
      <c r="A101" t="s">
        <v>265</v>
      </c>
      <c r="B101">
        <v>0.27</v>
      </c>
      <c r="C101" t="s">
        <v>250</v>
      </c>
      <c r="D101" t="s">
        <v>251</v>
      </c>
      <c r="E101">
        <v>0.271872</v>
      </c>
      <c r="F101" t="s">
        <v>43</v>
      </c>
      <c r="G101">
        <v>0.69333333333332769</v>
      </c>
      <c r="H101" t="s">
        <v>256</v>
      </c>
    </row>
    <row r="102" spans="1:8" x14ac:dyDescent="0.3">
      <c r="A102" t="s">
        <v>261</v>
      </c>
      <c r="B102">
        <v>88.717948717948715</v>
      </c>
      <c r="C102" t="s">
        <v>247</v>
      </c>
      <c r="D102" t="s">
        <v>252</v>
      </c>
      <c r="E102">
        <v>96.1</v>
      </c>
      <c r="F102" t="s">
        <v>229</v>
      </c>
      <c r="G102">
        <v>8.3208092485549106</v>
      </c>
      <c r="H102" t="s">
        <v>257</v>
      </c>
    </row>
    <row r="103" spans="1:8" x14ac:dyDescent="0.3">
      <c r="A103" t="s">
        <v>261</v>
      </c>
      <c r="B103">
        <v>5.1678224687933421</v>
      </c>
      <c r="C103" t="s">
        <v>248</v>
      </c>
      <c r="D103" t="s">
        <v>253</v>
      </c>
      <c r="E103">
        <v>4.5441000000000003</v>
      </c>
      <c r="F103" t="s">
        <v>255</v>
      </c>
      <c r="G103">
        <v>-12.069347826086943</v>
      </c>
      <c r="H103" t="s">
        <v>258</v>
      </c>
    </row>
    <row r="104" spans="1:8" x14ac:dyDescent="0.3">
      <c r="C104" t="s">
        <v>249</v>
      </c>
      <c r="D104" t="s">
        <v>254</v>
      </c>
      <c r="E104">
        <v>-3.8000000000000002E-5</v>
      </c>
      <c r="F104" t="s">
        <v>229</v>
      </c>
      <c r="H104" t="s">
        <v>259</v>
      </c>
    </row>
    <row r="105" spans="1:8" x14ac:dyDescent="0.3">
      <c r="B105" s="9"/>
    </row>
    <row r="126" spans="1:4" x14ac:dyDescent="0.3">
      <c r="A126" s="3"/>
    </row>
    <row r="127" spans="1:4" x14ac:dyDescent="0.3">
      <c r="C127" s="10"/>
      <c r="D127" s="10"/>
    </row>
    <row r="131" spans="1:4" x14ac:dyDescent="0.3">
      <c r="A131" s="3"/>
    </row>
    <row r="137" spans="1:4" x14ac:dyDescent="0.3">
      <c r="A137" s="1"/>
      <c r="C137" s="1"/>
      <c r="D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  <row r="143" spans="1:4" x14ac:dyDescent="0.3">
      <c r="A143" s="1"/>
    </row>
    <row r="144" spans="1:4" x14ac:dyDescent="0.3">
      <c r="A144" s="1"/>
    </row>
  </sheetData>
  <conditionalFormatting sqref="G13:G104">
    <cfRule type="expression" dxfId="29" priority="1">
      <formula>ABS(G13)&gt;10</formula>
    </cfRule>
    <cfRule type="expression" dxfId="28" priority="2">
      <formula>AND(ABS(G13)&gt;=5,ABS(G13)&lt;10)</formula>
    </cfRule>
    <cfRule type="expression" dxfId="27" priority="3">
      <formula>ABS(G13)&lt;5</formula>
    </cfRule>
  </conditionalFormatting>
  <conditionalFormatting sqref="H101:H104">
    <cfRule type="expression" dxfId="26" priority="4">
      <formula>ABS(H101)&gt;10</formula>
    </cfRule>
    <cfRule type="expression" dxfId="25" priority="5">
      <formula>AND(ABS(H101)&gt;=5,ABS(H101)&lt;10)</formula>
    </cfRule>
    <cfRule type="expression" dxfId="24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7674-798C-4588-9C6D-3ECA70E6F425}">
  <dimension ref="A1:J138"/>
  <sheetViews>
    <sheetView topLeftCell="A67" zoomScale="55" zoomScaleNormal="55" workbookViewId="0">
      <selection activeCell="B103" sqref="B103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6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A'!H:H),"")</f>
        <v>118.96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3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A'!H:H),"")</f>
        <v>178.72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A'!H:H),"")</f>
        <v>46.94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A'!H:H),"")</f>
        <v>46.94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A'!H:H),"")</f>
        <v>6.13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A'!H:H),"")</f>
        <v>38.93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0.34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A'!H:H),"")</f>
        <v>1030.53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A'!H:H),"")</f>
        <v>0.7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A'!H:H),"")</f>
        <v>30.63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A'!H:H),"")</f>
        <v>16.98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A'!H:H),"")</f>
        <v>118.96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A'!H:H),"")</f>
        <v>1042.6600000000001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A'!H:H),"")</f>
        <v>40.71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A'!H:H),"")</f>
        <v>178.72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A'!H:H),"")</f>
        <v>46.94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A'!H:H),"")</f>
        <v>46.94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A'!H:H),"")</f>
        <v>5.41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A'!H:H),"")</f>
        <v>3.09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A'!H:H),"")</f>
        <v>1030.53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A'!H:H),"")</f>
        <v>1038.75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A'!H:H),"")</f>
        <v>38.93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A'!H:H),"")</f>
        <v>35.78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A'!H:H),"")</f>
        <v>36.56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A'!H:H),"")</f>
        <v>37.270000000000003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A'!H:H),"")</f>
        <v>37.96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A'!H:H),"")</f>
        <v>38.75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A'!H:H),"")</f>
        <v>42.86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A'!H:H),"")</f>
        <v>48.13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A'!H:H),"")</f>
        <v>49.21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A'!H:H),"")</f>
        <v>45.73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A'!H:H),"")</f>
        <v>6.49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A'!H:H),"")</f>
        <v>11.95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18.439999999999998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A'!H:H),"")</f>
        <v>180.31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A'!H:H),"")</f>
        <v>35.76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A'!H:H),"")</f>
        <v>41.79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A'!H:H),"")</f>
        <v>35.14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A'!H:H),"")</f>
        <v>111.46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A'!H:H),"")</f>
        <v>98.98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A'!H:H),"")</f>
        <v>99.03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A'!H:H),"")</f>
        <v>99.37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A'!H:H),"")</f>
        <v>99.56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A'!H:H),"")</f>
        <v>100.05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A'!H:H),"")</f>
        <v>106.07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A'!H:H),"")</f>
        <v>97.97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A'!H:H),"")</f>
        <v>2.11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A'!H:H),"")</f>
        <v>6.13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A'!H:H),"")</f>
        <v>54.75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A'!H:H),"")</f>
        <v>0.7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A'!H:H),"")</f>
        <v>15.2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A'!H:H),"")</f>
        <v>113.05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A'!H:H),"")</f>
        <v>4.95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A'!H:H),"")</f>
        <v>0.69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A'!H:H),"")</f>
        <v>38.06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B84" t="str">
        <f>IFERROR(_xlfn.XLOOKUP(A84,'Appendix A'!A:A,'Appendix A'!E:E),"")</f>
        <v/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A'!H:H),"")</f>
        <v>103.18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A'!H:H),"")</f>
        <v>30.63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A'!H:H),"")</f>
        <v>16.98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A'!H:H),"")</f>
        <v>196.66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A'!H:H),"")</f>
        <v>1.075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A'!H:H),"")</f>
        <v>1.1020000000000001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A'!H:H),"")</f>
        <v>36.299999999999997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A'!H:H),"")</f>
        <v>37.1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0.49</v>
      </c>
      <c r="C100" t="s">
        <v>244</v>
      </c>
      <c r="D100" t="s">
        <v>243</v>
      </c>
      <c r="E100" t="e" cm="1">
        <f t="array" ref="E100">_xll.ReadKSpice(_xlfn.CONCAT("/",$B$1,"/",$B$2,"/",D100,"@V_Unit=",F100))</f>
        <v>#N/A</v>
      </c>
      <c r="F100" t="s">
        <v>33</v>
      </c>
      <c r="G100" t="e">
        <f>100*(E100-B100)/B100</f>
        <v>#N/A</v>
      </c>
    </row>
    <row r="101" spans="1:8" x14ac:dyDescent="0.3">
      <c r="A101" t="s">
        <v>265</v>
      </c>
      <c r="B101">
        <v>0.34</v>
      </c>
      <c r="C101" t="s">
        <v>250</v>
      </c>
      <c r="D101" t="s">
        <v>251</v>
      </c>
      <c r="E101" t="e" cm="1">
        <f t="array" ref="E101">_xll.ReadKSpice(_xlfn.CONCAT("/",$B$1,"/",$B$2,"/",D101,"@V_Unit=",F101))</f>
        <v>#N/A</v>
      </c>
      <c r="F101" t="s">
        <v>43</v>
      </c>
      <c r="G101" t="e">
        <f t="shared" ref="G101:G104" si="5">100*(E101-B101)/B101</f>
        <v>#N/A</v>
      </c>
      <c r="H101" t="s">
        <v>256</v>
      </c>
    </row>
    <row r="102" spans="1:8" x14ac:dyDescent="0.3">
      <c r="A102" t="s">
        <v>261</v>
      </c>
      <c r="B102">
        <f>((B34-B37)/B34)*100</f>
        <v>42.883548983364143</v>
      </c>
      <c r="C102" t="s">
        <v>247</v>
      </c>
      <c r="D102" t="s">
        <v>252</v>
      </c>
      <c r="E102" t="e" cm="1">
        <f t="array" ref="E102">_xll.ReadKSpice(_xlfn.CONCAT("/",$B$1,"/",$B$2,"/",D102,"@V_Unit=",F102))</f>
        <v>#N/A</v>
      </c>
      <c r="F102" t="s">
        <v>229</v>
      </c>
      <c r="G102" t="e">
        <f t="shared" si="5"/>
        <v>#N/A</v>
      </c>
      <c r="H102" t="s">
        <v>257</v>
      </c>
    </row>
    <row r="103" spans="1:8" x14ac:dyDescent="0.3">
      <c r="A103" t="s">
        <v>261</v>
      </c>
      <c r="B103">
        <f>(3.6*B17)/B79</f>
        <v>4.458181818181818</v>
      </c>
      <c r="C103" t="s">
        <v>248</v>
      </c>
      <c r="D103" t="s">
        <v>253</v>
      </c>
      <c r="E103" t="e" cm="1">
        <f t="array" ref="E103">_xll.ReadKSpice(_xlfn.CONCAT("/",$B$1,"/",$B$2,"/",D103,"@V_Unit=",F103))</f>
        <v>#N/A</v>
      </c>
      <c r="F103" t="s">
        <v>255</v>
      </c>
      <c r="G103" t="e">
        <f t="shared" si="5"/>
        <v>#N/A</v>
      </c>
      <c r="H103" t="s">
        <v>258</v>
      </c>
    </row>
    <row r="104" spans="1:8" x14ac:dyDescent="0.3">
      <c r="C104" t="s">
        <v>249</v>
      </c>
      <c r="D104" t="s">
        <v>254</v>
      </c>
      <c r="E104" t="e" cm="1">
        <f t="array" ref="E104">_xll.ReadKSpice(_xlfn.CONCAT("/",$B$1,"/",$B$2,"/",D104,"@V_Unit=",F104))</f>
        <v>#N/A</v>
      </c>
      <c r="F104" t="s">
        <v>229</v>
      </c>
      <c r="G104" t="e">
        <f t="shared" si="5"/>
        <v>#N/A</v>
      </c>
      <c r="H104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104">
    <cfRule type="expression" dxfId="23" priority="1">
      <formula>ABS(G13)&gt;10</formula>
    </cfRule>
    <cfRule type="expression" dxfId="22" priority="2">
      <formula>AND(ABS(G13)&gt;=5,ABS(G13)&lt;10)</formula>
    </cfRule>
    <cfRule type="expression" dxfId="21" priority="3">
      <formula>ABS(G13)&lt;5</formula>
    </cfRule>
  </conditionalFormatting>
  <conditionalFormatting sqref="H101:H104">
    <cfRule type="expression" dxfId="20" priority="4">
      <formula>ABS(H101)&gt;10</formula>
    </cfRule>
    <cfRule type="expression" dxfId="19" priority="5">
      <formula>AND(ABS(H101)&gt;=5,ABS(H101)&lt;10)</formula>
    </cfRule>
    <cfRule type="expression" dxfId="18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1790-2B75-48D3-86D8-4B8499DB8D2D}">
  <dimension ref="A1:J144"/>
  <sheetViews>
    <sheetView topLeftCell="A64" zoomScale="55" zoomScaleNormal="55" workbookViewId="0">
      <selection activeCell="G112" sqref="G112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6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AVERAGE(ABS(G100:G103))</f>
        <v>15.201888794725848</v>
      </c>
      <c r="J9" s="2"/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AVERAGE(ABS(G26:G31),ABS(G34),ABS(G37:G49),ABS(G52),ABS(G55),ABS(G57:G58),ABS(G61:G68),ABS(G71:G76),ABS(G79),ABS(G80),ABS(G83),ABS(G85),ABS(G88),ABS(G91),ABS(G100:G102))</f>
        <v>8.1796377536070946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118.96</v>
      </c>
      <c r="C13" t="s">
        <v>30</v>
      </c>
      <c r="D13" t="s">
        <v>111</v>
      </c>
      <c r="E13">
        <v>118.96000000000001</v>
      </c>
      <c r="F13" t="s">
        <v>31</v>
      </c>
      <c r="G13">
        <v>1.1945910150640555E-14</v>
      </c>
      <c r="H13" t="s">
        <v>35</v>
      </c>
    </row>
    <row r="14" spans="1:10" x14ac:dyDescent="0.3">
      <c r="A14" t="s">
        <v>58</v>
      </c>
      <c r="B14">
        <v>178.72</v>
      </c>
      <c r="C14" t="s">
        <v>32</v>
      </c>
      <c r="D14" t="s">
        <v>112</v>
      </c>
      <c r="E14">
        <v>178.7</v>
      </c>
      <c r="F14" t="s">
        <v>33</v>
      </c>
      <c r="G14">
        <v>-1.1190689346469468E-2</v>
      </c>
      <c r="H14" t="s">
        <v>36</v>
      </c>
    </row>
    <row r="15" spans="1:10" x14ac:dyDescent="0.3">
      <c r="A15" t="s">
        <v>25</v>
      </c>
      <c r="B15">
        <v>46.94</v>
      </c>
      <c r="C15" t="s">
        <v>107</v>
      </c>
      <c r="D15" t="s">
        <v>113</v>
      </c>
      <c r="E15">
        <v>46.94</v>
      </c>
      <c r="F15" t="s">
        <v>14</v>
      </c>
      <c r="G15">
        <v>0</v>
      </c>
      <c r="H15" t="s">
        <v>37</v>
      </c>
    </row>
    <row r="16" spans="1:10" x14ac:dyDescent="0.3">
      <c r="A16" t="s">
        <v>25</v>
      </c>
      <c r="B16">
        <v>46.94</v>
      </c>
      <c r="C16" t="s">
        <v>38</v>
      </c>
      <c r="D16" t="s">
        <v>220</v>
      </c>
      <c r="E16">
        <v>46.94</v>
      </c>
      <c r="F16" t="s">
        <v>14</v>
      </c>
      <c r="G16">
        <v>0</v>
      </c>
      <c r="H16" t="s">
        <v>108</v>
      </c>
    </row>
    <row r="17" spans="1:8" x14ac:dyDescent="0.3">
      <c r="A17" t="s">
        <v>63</v>
      </c>
      <c r="B17">
        <v>6.13</v>
      </c>
      <c r="C17" t="s">
        <v>40</v>
      </c>
      <c r="D17" t="s">
        <v>219</v>
      </c>
      <c r="E17">
        <v>6.1</v>
      </c>
      <c r="F17" t="s">
        <v>41</v>
      </c>
      <c r="G17">
        <v>-0.48939641109298937</v>
      </c>
      <c r="H17" t="s">
        <v>39</v>
      </c>
    </row>
    <row r="18" spans="1:8" x14ac:dyDescent="0.3">
      <c r="A18" t="s">
        <v>16</v>
      </c>
      <c r="B18">
        <v>38.93</v>
      </c>
      <c r="C18" t="s">
        <v>231</v>
      </c>
      <c r="D18" t="s">
        <v>232</v>
      </c>
      <c r="E18">
        <v>38.930000000000007</v>
      </c>
      <c r="F18" t="s">
        <v>14</v>
      </c>
      <c r="G18">
        <v>1.8251804155152842E-14</v>
      </c>
      <c r="H18" t="s">
        <v>42</v>
      </c>
    </row>
    <row r="19" spans="1:8" x14ac:dyDescent="0.3">
      <c r="B19">
        <v>0.34</v>
      </c>
      <c r="C19" t="s">
        <v>105</v>
      </c>
      <c r="D19" t="s">
        <v>114</v>
      </c>
      <c r="E19">
        <v>0.33998221798997391</v>
      </c>
      <c r="F19" t="s">
        <v>43</v>
      </c>
      <c r="G19">
        <v>-5.2300029488567034E-3</v>
      </c>
      <c r="H19" t="s">
        <v>44</v>
      </c>
    </row>
    <row r="20" spans="1:8" x14ac:dyDescent="0.3">
      <c r="A20" t="s">
        <v>47</v>
      </c>
      <c r="B20">
        <v>1030.53</v>
      </c>
      <c r="C20" t="s">
        <v>46</v>
      </c>
      <c r="D20" t="s">
        <v>115</v>
      </c>
      <c r="E20">
        <v>1030.53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0.7</v>
      </c>
      <c r="C21" t="s">
        <v>49</v>
      </c>
      <c r="D21" t="s">
        <v>116</v>
      </c>
      <c r="E21">
        <v>0.69999999999999984</v>
      </c>
      <c r="F21" t="s">
        <v>51</v>
      </c>
      <c r="G21">
        <v>-1.5860328923216522E-14</v>
      </c>
      <c r="H21" t="s">
        <v>48</v>
      </c>
    </row>
    <row r="22" spans="1:8" x14ac:dyDescent="0.3">
      <c r="A22" t="s">
        <v>89</v>
      </c>
      <c r="B22">
        <v>30.63</v>
      </c>
      <c r="C22" t="s">
        <v>53</v>
      </c>
      <c r="D22" t="s">
        <v>117</v>
      </c>
      <c r="E22">
        <v>30.629999999999995</v>
      </c>
      <c r="F22" t="s">
        <v>14</v>
      </c>
      <c r="G22">
        <v>-1.1598804044402551E-14</v>
      </c>
      <c r="H22" t="s">
        <v>52</v>
      </c>
    </row>
    <row r="23" spans="1:8" x14ac:dyDescent="0.3">
      <c r="A23" t="s">
        <v>90</v>
      </c>
      <c r="B23">
        <v>16.98</v>
      </c>
      <c r="C23" t="s">
        <v>55</v>
      </c>
      <c r="D23" t="s">
        <v>118</v>
      </c>
      <c r="E23">
        <v>16.980000000000018</v>
      </c>
      <c r="F23" t="s">
        <v>14</v>
      </c>
      <c r="G23">
        <v>1.0461465485278271E-13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118.96</v>
      </c>
      <c r="C26" t="s">
        <v>12</v>
      </c>
      <c r="D26" t="s">
        <v>119</v>
      </c>
      <c r="E26">
        <v>118.96000001343705</v>
      </c>
      <c r="F26" t="s">
        <v>31</v>
      </c>
      <c r="G26">
        <v>1.1295443397028026E-8</v>
      </c>
    </row>
    <row r="27" spans="1:8" x14ac:dyDescent="0.3">
      <c r="A27" t="s">
        <v>67</v>
      </c>
      <c r="B27">
        <v>1042.6600000000001</v>
      </c>
      <c r="C27" t="s">
        <v>235</v>
      </c>
      <c r="D27" t="s">
        <v>236</v>
      </c>
      <c r="E27">
        <v>1035.1843455297808</v>
      </c>
      <c r="F27" t="s">
        <v>218</v>
      </c>
      <c r="G27">
        <v>-0.7169791178542666</v>
      </c>
    </row>
    <row r="28" spans="1:8" x14ac:dyDescent="0.3">
      <c r="A28" t="s">
        <v>13</v>
      </c>
      <c r="B28">
        <v>40.71</v>
      </c>
      <c r="C28" t="s">
        <v>233</v>
      </c>
      <c r="D28" t="s">
        <v>234</v>
      </c>
      <c r="E28">
        <v>38.929999999860627</v>
      </c>
      <c r="F28" t="s">
        <v>14</v>
      </c>
      <c r="G28">
        <v>-4.3723900764907251</v>
      </c>
    </row>
    <row r="29" spans="1:8" x14ac:dyDescent="0.3">
      <c r="A29" t="s">
        <v>58</v>
      </c>
      <c r="B29">
        <v>178.72</v>
      </c>
      <c r="C29" t="s">
        <v>120</v>
      </c>
      <c r="D29" t="s">
        <v>121</v>
      </c>
      <c r="E29">
        <v>178.69999999275842</v>
      </c>
      <c r="F29" t="s">
        <v>33</v>
      </c>
      <c r="G29">
        <v>-1.1190693398375995E-2</v>
      </c>
    </row>
    <row r="30" spans="1:8" x14ac:dyDescent="0.3">
      <c r="A30" t="s">
        <v>25</v>
      </c>
      <c r="B30">
        <v>46.94</v>
      </c>
      <c r="C30" t="s">
        <v>109</v>
      </c>
      <c r="D30" t="s">
        <v>110</v>
      </c>
      <c r="E30">
        <v>46.944522759254028</v>
      </c>
      <c r="F30" t="s">
        <v>14</v>
      </c>
      <c r="G30">
        <v>9.6351922753089188E-3</v>
      </c>
      <c r="H30" t="s">
        <v>37</v>
      </c>
    </row>
    <row r="31" spans="1:8" x14ac:dyDescent="0.3">
      <c r="A31" t="s">
        <v>25</v>
      </c>
      <c r="B31">
        <v>46.94</v>
      </c>
      <c r="C31" t="s">
        <v>221</v>
      </c>
      <c r="D31" t="s">
        <v>222</v>
      </c>
      <c r="E31">
        <v>31.62685280078091</v>
      </c>
      <c r="F31" t="s">
        <v>14</v>
      </c>
      <c r="G31">
        <v>-32.622810394586892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5.41</v>
      </c>
      <c r="C34" t="s">
        <v>122</v>
      </c>
      <c r="D34" t="s">
        <v>123</v>
      </c>
      <c r="E34">
        <v>5.6670159575186005</v>
      </c>
      <c r="F34" t="s">
        <v>229</v>
      </c>
      <c r="G34">
        <v>4.7507570705841111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2.2450285541481394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0.10321117438938383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3.09</v>
      </c>
      <c r="C37" t="s">
        <v>128</v>
      </c>
      <c r="E37">
        <v>2.3482397285375232</v>
      </c>
      <c r="F37" t="s">
        <v>229</v>
      </c>
      <c r="G37">
        <v>-24.005186778720926</v>
      </c>
      <c r="H37" t="s">
        <v>230</v>
      </c>
    </row>
    <row r="38" spans="1:8" x14ac:dyDescent="0.3">
      <c r="A38" t="s">
        <v>47</v>
      </c>
      <c r="B38">
        <v>1030.53</v>
      </c>
      <c r="C38" t="s">
        <v>131</v>
      </c>
      <c r="D38" t="s">
        <v>133</v>
      </c>
      <c r="E38">
        <v>1030.5299999278527</v>
      </c>
      <c r="F38" t="s">
        <v>218</v>
      </c>
      <c r="G38">
        <v>-7.0009857873002859E-9</v>
      </c>
    </row>
    <row r="39" spans="1:8" x14ac:dyDescent="0.3">
      <c r="A39" t="s">
        <v>66</v>
      </c>
      <c r="B39">
        <v>1038.75</v>
      </c>
      <c r="C39" t="s">
        <v>132</v>
      </c>
      <c r="D39" t="s">
        <v>134</v>
      </c>
      <c r="E39">
        <v>1034.8971883067018</v>
      </c>
      <c r="F39" t="s">
        <v>218</v>
      </c>
      <c r="G39">
        <v>-0.37090846626216467</v>
      </c>
    </row>
    <row r="40" spans="1:8" x14ac:dyDescent="0.3">
      <c r="A40" t="s">
        <v>16</v>
      </c>
      <c r="B40">
        <v>38.93</v>
      </c>
      <c r="C40" t="s">
        <v>233</v>
      </c>
      <c r="D40" t="s">
        <v>234</v>
      </c>
      <c r="E40">
        <v>38.929999999860627</v>
      </c>
      <c r="F40" t="s">
        <v>14</v>
      </c>
      <c r="G40">
        <v>-3.5800913850332301E-10</v>
      </c>
      <c r="H40" t="s">
        <v>237</v>
      </c>
    </row>
    <row r="41" spans="1:8" x14ac:dyDescent="0.3">
      <c r="A41" t="s">
        <v>73</v>
      </c>
      <c r="B41">
        <v>35.78</v>
      </c>
      <c r="C41" t="s">
        <v>137</v>
      </c>
      <c r="D41" t="s">
        <v>146</v>
      </c>
      <c r="E41">
        <v>30.171535246111546</v>
      </c>
      <c r="F41" t="s">
        <v>14</v>
      </c>
      <c r="G41">
        <v>-15.6748595692802</v>
      </c>
    </row>
    <row r="42" spans="1:8" x14ac:dyDescent="0.3">
      <c r="A42" t="s">
        <v>17</v>
      </c>
      <c r="B42">
        <v>36.56</v>
      </c>
      <c r="C42" t="s">
        <v>18</v>
      </c>
      <c r="D42" t="s">
        <v>147</v>
      </c>
      <c r="E42">
        <v>30.151080959077319</v>
      </c>
      <c r="F42" t="s">
        <v>14</v>
      </c>
      <c r="G42">
        <v>-17.529866085674733</v>
      </c>
    </row>
    <row r="43" spans="1:8" x14ac:dyDescent="0.3">
      <c r="A43" t="s">
        <v>19</v>
      </c>
      <c r="B43">
        <v>37.270000000000003</v>
      </c>
      <c r="C43" t="s">
        <v>138</v>
      </c>
      <c r="D43" t="s">
        <v>148</v>
      </c>
      <c r="E43">
        <v>33.13787721454861</v>
      </c>
      <c r="F43" t="s">
        <v>14</v>
      </c>
      <c r="G43">
        <v>-11.086994326405671</v>
      </c>
    </row>
    <row r="44" spans="1:8" x14ac:dyDescent="0.3">
      <c r="A44" t="s">
        <v>20</v>
      </c>
      <c r="B44">
        <v>37.96</v>
      </c>
      <c r="C44" t="s">
        <v>139</v>
      </c>
      <c r="D44" t="s">
        <v>149</v>
      </c>
      <c r="E44">
        <v>35.491915264970487</v>
      </c>
      <c r="F44" t="s">
        <v>14</v>
      </c>
      <c r="G44">
        <v>-6.501803833059836</v>
      </c>
    </row>
    <row r="45" spans="1:8" x14ac:dyDescent="0.3">
      <c r="A45" t="s">
        <v>21</v>
      </c>
      <c r="B45">
        <v>38.75</v>
      </c>
      <c r="C45" t="s">
        <v>140</v>
      </c>
      <c r="D45" t="s">
        <v>150</v>
      </c>
      <c r="E45">
        <v>37.648258251831464</v>
      </c>
      <c r="F45" t="s">
        <v>14</v>
      </c>
      <c r="G45">
        <v>-2.8432045114026727</v>
      </c>
    </row>
    <row r="46" spans="1:8" x14ac:dyDescent="0.3">
      <c r="A46" t="s">
        <v>22</v>
      </c>
      <c r="B46">
        <v>42.86</v>
      </c>
      <c r="C46" t="s">
        <v>141</v>
      </c>
      <c r="D46" t="s">
        <v>151</v>
      </c>
      <c r="E46">
        <v>39.921305400514143</v>
      </c>
      <c r="F46" t="s">
        <v>14</v>
      </c>
      <c r="G46">
        <v>-6.8564969656692876</v>
      </c>
    </row>
    <row r="47" spans="1:8" x14ac:dyDescent="0.3">
      <c r="A47" t="s">
        <v>23</v>
      </c>
      <c r="B47">
        <v>48.13</v>
      </c>
      <c r="C47" t="s">
        <v>142</v>
      </c>
      <c r="D47" t="s">
        <v>152</v>
      </c>
      <c r="E47">
        <v>42.676905808408208</v>
      </c>
      <c r="F47" t="s">
        <v>14</v>
      </c>
      <c r="G47">
        <v>-11.32992767835403</v>
      </c>
    </row>
    <row r="48" spans="1:8" x14ac:dyDescent="0.3">
      <c r="A48" t="s">
        <v>24</v>
      </c>
      <c r="B48">
        <v>49.21</v>
      </c>
      <c r="C48" t="s">
        <v>143</v>
      </c>
      <c r="D48" t="s">
        <v>153</v>
      </c>
      <c r="E48">
        <v>46.309804933259329</v>
      </c>
      <c r="F48" t="s">
        <v>14</v>
      </c>
      <c r="G48">
        <v>-5.8935075528158345</v>
      </c>
    </row>
    <row r="49" spans="1:8" x14ac:dyDescent="0.3">
      <c r="A49" t="s">
        <v>83</v>
      </c>
      <c r="B49">
        <v>45.73</v>
      </c>
      <c r="C49" t="s">
        <v>144</v>
      </c>
      <c r="D49" t="s">
        <v>154</v>
      </c>
      <c r="E49">
        <v>49.361301365609847</v>
      </c>
      <c r="F49" t="s">
        <v>14</v>
      </c>
      <c r="G49">
        <v>7.9407421071722091</v>
      </c>
    </row>
    <row r="50" spans="1:8" x14ac:dyDescent="0.3">
      <c r="A50" t="s">
        <v>70</v>
      </c>
      <c r="B50">
        <v>6.49</v>
      </c>
      <c r="F50" t="s">
        <v>217</v>
      </c>
      <c r="G50" t="s">
        <v>202</v>
      </c>
    </row>
    <row r="51" spans="1:8" x14ac:dyDescent="0.3">
      <c r="A51" t="s">
        <v>64</v>
      </c>
      <c r="B51">
        <v>11.95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18.439999999999998</v>
      </c>
      <c r="C52" t="s">
        <v>145</v>
      </c>
      <c r="D52" t="s">
        <v>155</v>
      </c>
      <c r="E52">
        <v>17.45058382247057</v>
      </c>
      <c r="F52" t="s">
        <v>217</v>
      </c>
      <c r="G52">
        <v>-5.3655974920250973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180.31</v>
      </c>
      <c r="C55" t="s">
        <v>156</v>
      </c>
      <c r="D55" t="s">
        <v>157</v>
      </c>
      <c r="E55">
        <v>174.94792270183044</v>
      </c>
      <c r="F55" t="s">
        <v>33</v>
      </c>
      <c r="G55">
        <v>-2.9738102701844413</v>
      </c>
    </row>
    <row r="56" spans="1:8" x14ac:dyDescent="0.3">
      <c r="A56" t="s">
        <v>74</v>
      </c>
      <c r="B56">
        <v>35.76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41.79</v>
      </c>
      <c r="C57" t="s">
        <v>158</v>
      </c>
      <c r="D57" t="s">
        <v>159</v>
      </c>
      <c r="E57">
        <v>52.273240439336973</v>
      </c>
      <c r="F57" t="s">
        <v>14</v>
      </c>
      <c r="G57">
        <v>25.085523903653922</v>
      </c>
    </row>
    <row r="58" spans="1:8" x14ac:dyDescent="0.3">
      <c r="A58" t="s">
        <v>76</v>
      </c>
      <c r="B58">
        <v>35.14</v>
      </c>
      <c r="C58" t="s">
        <v>161</v>
      </c>
      <c r="D58" t="s">
        <v>160</v>
      </c>
      <c r="E58">
        <v>30.205275983076547</v>
      </c>
      <c r="F58" t="s">
        <v>14</v>
      </c>
      <c r="G58">
        <v>-14.043039319645571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111.46</v>
      </c>
      <c r="C61" t="s">
        <v>162</v>
      </c>
      <c r="D61" t="s">
        <v>169</v>
      </c>
      <c r="E61">
        <v>98.707125382286847</v>
      </c>
      <c r="F61" t="s">
        <v>14</v>
      </c>
      <c r="G61">
        <v>-11.441660342466488</v>
      </c>
    </row>
    <row r="62" spans="1:8" x14ac:dyDescent="0.3">
      <c r="A62" t="s">
        <v>85</v>
      </c>
      <c r="B62">
        <v>98.98</v>
      </c>
      <c r="C62" t="s">
        <v>163</v>
      </c>
      <c r="D62" t="s">
        <v>170</v>
      </c>
      <c r="E62">
        <v>95.296895740370871</v>
      </c>
      <c r="F62" t="s">
        <v>14</v>
      </c>
      <c r="G62">
        <v>-3.7210590620621664</v>
      </c>
    </row>
    <row r="63" spans="1:8" x14ac:dyDescent="0.3">
      <c r="A63" t="s">
        <v>86</v>
      </c>
      <c r="B63">
        <v>99.03</v>
      </c>
      <c r="C63" t="s">
        <v>164</v>
      </c>
      <c r="D63" t="s">
        <v>171</v>
      </c>
      <c r="E63">
        <v>94.643682133026743</v>
      </c>
      <c r="F63" t="s">
        <v>14</v>
      </c>
      <c r="G63">
        <v>-4.4292819014170028</v>
      </c>
    </row>
    <row r="64" spans="1:8" x14ac:dyDescent="0.3">
      <c r="A64" t="s">
        <v>87</v>
      </c>
      <c r="B64">
        <v>99.37</v>
      </c>
      <c r="C64" t="s">
        <v>165</v>
      </c>
      <c r="D64" t="s">
        <v>172</v>
      </c>
      <c r="E64">
        <v>94.538434993610679</v>
      </c>
      <c r="F64" t="s">
        <v>14</v>
      </c>
      <c r="G64">
        <v>-4.8621968465224166</v>
      </c>
    </row>
    <row r="65" spans="1:8" x14ac:dyDescent="0.3">
      <c r="A65" t="s">
        <v>88</v>
      </c>
      <c r="B65">
        <v>99.56</v>
      </c>
      <c r="C65" t="s">
        <v>166</v>
      </c>
      <c r="D65" t="s">
        <v>173</v>
      </c>
      <c r="E65">
        <v>94.524820577730736</v>
      </c>
      <c r="F65" t="s">
        <v>14</v>
      </c>
      <c r="G65">
        <v>-5.0574321236131636</v>
      </c>
    </row>
    <row r="66" spans="1:8" x14ac:dyDescent="0.3">
      <c r="A66" t="s">
        <v>79</v>
      </c>
      <c r="B66">
        <v>100.05</v>
      </c>
      <c r="C66" t="s">
        <v>227</v>
      </c>
      <c r="D66" t="s">
        <v>228</v>
      </c>
      <c r="E66">
        <v>94.504022330750502</v>
      </c>
      <c r="F66" t="s">
        <v>14</v>
      </c>
      <c r="G66">
        <v>-5.5432060662163885</v>
      </c>
    </row>
    <row r="67" spans="1:8" x14ac:dyDescent="0.3">
      <c r="A67" t="s">
        <v>81</v>
      </c>
      <c r="B67">
        <v>106.07</v>
      </c>
      <c r="C67" t="s">
        <v>167</v>
      </c>
      <c r="D67" t="s">
        <v>174</v>
      </c>
      <c r="E67">
        <v>100.61613168309566</v>
      </c>
      <c r="F67" t="s">
        <v>14</v>
      </c>
      <c r="G67">
        <v>-5.1417632854759443</v>
      </c>
    </row>
    <row r="68" spans="1:8" x14ac:dyDescent="0.3">
      <c r="A68" t="s">
        <v>82</v>
      </c>
      <c r="B68">
        <v>97.97</v>
      </c>
      <c r="C68" t="s">
        <v>168</v>
      </c>
      <c r="D68" t="s">
        <v>175</v>
      </c>
      <c r="E68">
        <v>94.520312784553994</v>
      </c>
      <c r="F68" t="s">
        <v>14</v>
      </c>
      <c r="G68">
        <v>-3.5211669035888589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2.11</v>
      </c>
      <c r="C71" t="s">
        <v>176</v>
      </c>
      <c r="D71" t="s">
        <v>181</v>
      </c>
      <c r="E71">
        <v>1.2979857861162822</v>
      </c>
      <c r="F71" t="s">
        <v>33</v>
      </c>
      <c r="G71">
        <v>-38.484085966052973</v>
      </c>
    </row>
    <row r="72" spans="1:8" x14ac:dyDescent="0.3">
      <c r="A72" t="s">
        <v>63</v>
      </c>
      <c r="B72">
        <v>6.13</v>
      </c>
      <c r="C72" t="s">
        <v>177</v>
      </c>
      <c r="D72" t="s">
        <v>182</v>
      </c>
      <c r="E72">
        <v>6.0999954892539483</v>
      </c>
      <c r="F72" t="s">
        <v>41</v>
      </c>
      <c r="G72">
        <v>-0.4894699958572854</v>
      </c>
    </row>
    <row r="73" spans="1:8" x14ac:dyDescent="0.3">
      <c r="A73" t="s">
        <v>65</v>
      </c>
      <c r="B73">
        <v>54.75</v>
      </c>
      <c r="C73" t="s">
        <v>226</v>
      </c>
      <c r="D73" t="s">
        <v>225</v>
      </c>
      <c r="E73">
        <v>53.676264816608381</v>
      </c>
      <c r="F73" t="s">
        <v>217</v>
      </c>
      <c r="G73">
        <v>-1.9611601523134599</v>
      </c>
    </row>
    <row r="74" spans="1:8" x14ac:dyDescent="0.3">
      <c r="A74" t="s">
        <v>68</v>
      </c>
      <c r="B74">
        <v>0.7</v>
      </c>
      <c r="C74" t="s">
        <v>178</v>
      </c>
      <c r="D74" t="s">
        <v>183</v>
      </c>
      <c r="E74">
        <v>0.70003632511675717</v>
      </c>
      <c r="F74" t="s">
        <v>51</v>
      </c>
      <c r="G74">
        <v>5.1893023938883896E-3</v>
      </c>
    </row>
    <row r="75" spans="1:8" x14ac:dyDescent="0.3">
      <c r="A75" t="s">
        <v>80</v>
      </c>
      <c r="B75">
        <v>15.2</v>
      </c>
      <c r="C75" t="s">
        <v>179</v>
      </c>
      <c r="D75" t="s">
        <v>184</v>
      </c>
      <c r="E75">
        <v>17.388064981510126</v>
      </c>
      <c r="F75" t="s">
        <v>14</v>
      </c>
      <c r="G75">
        <v>14.395164352040311</v>
      </c>
    </row>
    <row r="76" spans="1:8" x14ac:dyDescent="0.3">
      <c r="A76" t="s">
        <v>206</v>
      </c>
      <c r="B76">
        <v>113.05</v>
      </c>
      <c r="C76" t="s">
        <v>180</v>
      </c>
      <c r="D76" t="s">
        <v>185</v>
      </c>
      <c r="E76">
        <v>109.24066860416804</v>
      </c>
      <c r="F76" t="s">
        <v>14</v>
      </c>
      <c r="G76">
        <v>-3.3695987579230087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4.95</v>
      </c>
      <c r="C79" t="s">
        <v>186</v>
      </c>
      <c r="D79" t="s">
        <v>187</v>
      </c>
      <c r="E79">
        <v>5.9188024037783267</v>
      </c>
      <c r="F79" t="s">
        <v>33</v>
      </c>
      <c r="G79">
        <v>19.571765732895486</v>
      </c>
    </row>
    <row r="80" spans="1:8" x14ac:dyDescent="0.3">
      <c r="A80" t="s">
        <v>69</v>
      </c>
      <c r="B80">
        <v>0.69</v>
      </c>
      <c r="C80" t="s">
        <v>223</v>
      </c>
      <c r="D80" t="s">
        <v>224</v>
      </c>
      <c r="E80">
        <v>0.69682866481211114</v>
      </c>
      <c r="F80" t="s">
        <v>51</v>
      </c>
      <c r="G80">
        <v>0.98966156697263719</v>
      </c>
    </row>
    <row r="81" spans="1:8" x14ac:dyDescent="0.3">
      <c r="G81" t="s">
        <v>202</v>
      </c>
    </row>
    <row r="82" spans="1:8" x14ac:dyDescent="0.3">
      <c r="A82" s="6" t="s">
        <v>99</v>
      </c>
      <c r="B82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38.06</v>
      </c>
      <c r="C83" t="s">
        <v>188</v>
      </c>
      <c r="D83" t="s">
        <v>191</v>
      </c>
      <c r="E83">
        <v>31.857787147520924</v>
      </c>
      <c r="F83" t="s">
        <v>14</v>
      </c>
      <c r="G83">
        <v>-16.295882429004411</v>
      </c>
    </row>
    <row r="84" spans="1:8" x14ac:dyDescent="0.3">
      <c r="A84" t="s">
        <v>135</v>
      </c>
      <c r="B84" t="s">
        <v>240</v>
      </c>
      <c r="C84" t="s">
        <v>189</v>
      </c>
      <c r="D84" t="s">
        <v>192</v>
      </c>
      <c r="E84">
        <v>109.24066860416804</v>
      </c>
      <c r="F84" t="s">
        <v>14</v>
      </c>
      <c r="G84" t="e">
        <v>#VALUE!</v>
      </c>
      <c r="H84" t="s">
        <v>136</v>
      </c>
    </row>
    <row r="85" spans="1:8" x14ac:dyDescent="0.3">
      <c r="A85" t="s">
        <v>78</v>
      </c>
      <c r="B85">
        <v>103.18</v>
      </c>
      <c r="C85" t="s">
        <v>190</v>
      </c>
      <c r="D85" t="s">
        <v>193</v>
      </c>
      <c r="E85">
        <v>102.8907046846096</v>
      </c>
      <c r="F85" t="s">
        <v>14</v>
      </c>
      <c r="G85">
        <v>-0.28037925507889566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30.63</v>
      </c>
      <c r="C88" t="s">
        <v>194</v>
      </c>
      <c r="D88" t="s">
        <v>196</v>
      </c>
      <c r="E88">
        <v>30.510063803427386</v>
      </c>
      <c r="F88" t="s">
        <v>14</v>
      </c>
      <c r="G88">
        <v>-0.3915644680790511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16.98</v>
      </c>
      <c r="C91" t="s">
        <v>195</v>
      </c>
      <c r="D91" t="s">
        <v>197</v>
      </c>
      <c r="E91">
        <v>16.997448840479422</v>
      </c>
      <c r="F91" t="s">
        <v>14</v>
      </c>
      <c r="G91">
        <v>0.10276113356549517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196.66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1.075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1.1020000000000001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36.299999999999997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37.1</v>
      </c>
      <c r="E98" t="s">
        <v>241</v>
      </c>
      <c r="F98" t="s">
        <v>14</v>
      </c>
      <c r="G98" t="e">
        <v>#VALUE!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0.49</v>
      </c>
      <c r="C100" t="s">
        <v>244</v>
      </c>
      <c r="D100" t="s">
        <v>243</v>
      </c>
      <c r="E100">
        <v>0.52871999999999997</v>
      </c>
      <c r="F100" t="s">
        <v>33</v>
      </c>
      <c r="G100">
        <v>7.9020408163265259</v>
      </c>
    </row>
    <row r="101" spans="1:8" x14ac:dyDescent="0.3">
      <c r="A101" t="s">
        <v>265</v>
      </c>
      <c r="B101">
        <v>0.34</v>
      </c>
      <c r="C101" t="s">
        <v>250</v>
      </c>
      <c r="D101" t="s">
        <v>251</v>
      </c>
      <c r="E101">
        <v>0.360904</v>
      </c>
      <c r="F101" t="s">
        <v>43</v>
      </c>
      <c r="G101">
        <v>6.148235294117641</v>
      </c>
      <c r="H101" t="s">
        <v>256</v>
      </c>
    </row>
    <row r="102" spans="1:8" x14ac:dyDescent="0.3">
      <c r="A102" t="s">
        <v>261</v>
      </c>
      <c r="B102">
        <v>42.883548983364143</v>
      </c>
      <c r="C102" t="s">
        <v>247</v>
      </c>
      <c r="D102" t="s">
        <v>252</v>
      </c>
      <c r="E102">
        <v>55.9</v>
      </c>
      <c r="F102" t="s">
        <v>229</v>
      </c>
      <c r="G102">
        <v>30.353017241379298</v>
      </c>
      <c r="H102" t="s">
        <v>257</v>
      </c>
    </row>
    <row r="103" spans="1:8" x14ac:dyDescent="0.3">
      <c r="A103" t="s">
        <v>261</v>
      </c>
      <c r="B103">
        <v>4.458181818181818</v>
      </c>
      <c r="C103" t="s">
        <v>248</v>
      </c>
      <c r="D103" t="s">
        <v>253</v>
      </c>
      <c r="E103">
        <v>3.7268500000000002</v>
      </c>
      <c r="F103" t="s">
        <v>255</v>
      </c>
      <c r="G103">
        <v>-16.404261827079928</v>
      </c>
      <c r="H103" t="s">
        <v>258</v>
      </c>
    </row>
    <row r="104" spans="1:8" x14ac:dyDescent="0.3">
      <c r="C104" t="s">
        <v>249</v>
      </c>
      <c r="D104" t="s">
        <v>254</v>
      </c>
      <c r="E104">
        <v>-1.3999999999999999E-4</v>
      </c>
      <c r="F104" t="s">
        <v>229</v>
      </c>
      <c r="H104" t="s">
        <v>259</v>
      </c>
    </row>
    <row r="105" spans="1:8" x14ac:dyDescent="0.3">
      <c r="B105" s="9"/>
    </row>
    <row r="126" spans="1:4" x14ac:dyDescent="0.3">
      <c r="A126" s="3"/>
    </row>
    <row r="127" spans="1:4" x14ac:dyDescent="0.3">
      <c r="C127" s="10"/>
      <c r="D127" s="10"/>
    </row>
    <row r="131" spans="1:4" x14ac:dyDescent="0.3">
      <c r="A131" s="3"/>
    </row>
    <row r="137" spans="1:4" x14ac:dyDescent="0.3">
      <c r="A137" s="1"/>
      <c r="C137" s="1"/>
      <c r="D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  <row r="143" spans="1:4" x14ac:dyDescent="0.3">
      <c r="A143" s="1"/>
    </row>
    <row r="144" spans="1:4" x14ac:dyDescent="0.3">
      <c r="A144" s="1"/>
    </row>
  </sheetData>
  <conditionalFormatting sqref="G13:G104">
    <cfRule type="expression" dxfId="17" priority="1">
      <formula>ABS(G13)&gt;10</formula>
    </cfRule>
    <cfRule type="expression" dxfId="16" priority="2">
      <formula>AND(ABS(G13)&gt;=5,ABS(G13)&lt;10)</formula>
    </cfRule>
    <cfRule type="expression" dxfId="15" priority="3">
      <formula>ABS(G13)&lt;5</formula>
    </cfRule>
  </conditionalFormatting>
  <conditionalFormatting sqref="H101:H104">
    <cfRule type="expression" dxfId="14" priority="4">
      <formula>ABS(H101)&gt;10</formula>
    </cfRule>
    <cfRule type="expression" dxfId="13" priority="5">
      <formula>AND(ABS(H101)&gt;=5,ABS(H101)&lt;10)</formula>
    </cfRule>
    <cfRule type="expression" dxfId="12" priority="6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DF67-2421-4A1A-957E-29478D92F926}">
  <dimension ref="A1:J138"/>
  <sheetViews>
    <sheetView topLeftCell="A73" zoomScale="70" zoomScaleNormal="70" workbookViewId="0">
      <selection activeCell="B103" sqref="B103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7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  <c r="J7" s="2"/>
    </row>
    <row r="8" spans="1:10" x14ac:dyDescent="0.3">
      <c r="A8" t="s">
        <v>200</v>
      </c>
      <c r="B8">
        <v>5</v>
      </c>
      <c r="C8">
        <v>10</v>
      </c>
      <c r="J8" s="2"/>
    </row>
    <row r="9" spans="1:10" x14ac:dyDescent="0.3">
      <c r="A9" t="s">
        <v>201</v>
      </c>
      <c r="B9">
        <v>10</v>
      </c>
      <c r="C9">
        <v>100</v>
      </c>
      <c r="J9" s="2"/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f>IFERROR(_xlfn.XLOOKUP(A13,'Appendix A'!A:A,'Appendix A'!I:I),"")</f>
        <v>118.87</v>
      </c>
      <c r="C13" t="s">
        <v>30</v>
      </c>
      <c r="D13" t="s">
        <v>111</v>
      </c>
      <c r="E13" t="e" cm="1">
        <f t="array" ref="E13">_xll.ReadKSpice(_xlfn.CONCAT("/",$B$1,"/",$B$2,"/",D13,"@V_Unit=",F13))</f>
        <v>#N/A</v>
      </c>
      <c r="F13" t="s">
        <v>31</v>
      </c>
      <c r="G13" t="e">
        <f t="shared" ref="G13:G23" si="0">100*(E13-B13)/B13</f>
        <v>#N/A</v>
      </c>
      <c r="H13" t="s">
        <v>35</v>
      </c>
    </row>
    <row r="14" spans="1:10" x14ac:dyDescent="0.3">
      <c r="A14" t="s">
        <v>58</v>
      </c>
      <c r="B14">
        <f>IFERROR(_xlfn.XLOOKUP(A14,'Appendix A'!A:A,'Appendix A'!I:I),"")</f>
        <v>238.82</v>
      </c>
      <c r="C14" t="s">
        <v>32</v>
      </c>
      <c r="D14" t="s">
        <v>112</v>
      </c>
      <c r="E14" t="e" cm="1">
        <f t="array" ref="E14">_xll.ReadKSpice(_xlfn.CONCAT("/",$B$1,"/",$B$2,"/",D14,"@V_Unit=",F14))</f>
        <v>#N/A</v>
      </c>
      <c r="F14" t="s">
        <v>33</v>
      </c>
      <c r="G14" t="e">
        <f t="shared" si="0"/>
        <v>#N/A</v>
      </c>
      <c r="H14" t="s">
        <v>36</v>
      </c>
    </row>
    <row r="15" spans="1:10" x14ac:dyDescent="0.3">
      <c r="A15" t="s">
        <v>25</v>
      </c>
      <c r="B15">
        <f>IFERROR(_xlfn.XLOOKUP(A15,'Appendix A'!A:A,'Appendix A'!I:I),"")</f>
        <v>50.02</v>
      </c>
      <c r="C15" t="s">
        <v>107</v>
      </c>
      <c r="D15" t="s">
        <v>113</v>
      </c>
      <c r="E15" t="e" cm="1">
        <f t="array" ref="E15">_xll.ReadKSpice(_xlfn.CONCAT("/",$B$1,"/",$B$2,"/",D15,"@V_Unit=",F15))</f>
        <v>#N/A</v>
      </c>
      <c r="F15" t="s">
        <v>14</v>
      </c>
      <c r="G15" t="e">
        <f t="shared" si="0"/>
        <v>#N/A</v>
      </c>
      <c r="H15" t="s">
        <v>37</v>
      </c>
    </row>
    <row r="16" spans="1:10" x14ac:dyDescent="0.3">
      <c r="A16" t="s">
        <v>25</v>
      </c>
      <c r="B16">
        <f>IFERROR(_xlfn.XLOOKUP(A16,'Appendix A'!A:A,'Appendix A'!I:I),"")</f>
        <v>50.02</v>
      </c>
      <c r="C16" t="s">
        <v>38</v>
      </c>
      <c r="D16" t="s">
        <v>220</v>
      </c>
      <c r="E16" t="e" cm="1">
        <f t="array" ref="E16">_xll.ReadKSpice(_xlfn.CONCAT("/",$B$1,"/",$B$2,"/",D16,"@V_Unit=",F16))</f>
        <v>#N/A</v>
      </c>
      <c r="F16" t="s">
        <v>14</v>
      </c>
      <c r="G16" t="e">
        <f t="shared" si="0"/>
        <v>#N/A</v>
      </c>
      <c r="H16" t="s">
        <v>108</v>
      </c>
    </row>
    <row r="17" spans="1:8" x14ac:dyDescent="0.3">
      <c r="A17" t="s">
        <v>63</v>
      </c>
      <c r="B17">
        <f>IFERROR(_xlfn.XLOOKUP(A17,'Appendix A'!A:A,'Appendix A'!I:I),"")</f>
        <v>8.33</v>
      </c>
      <c r="C17" t="s">
        <v>40</v>
      </c>
      <c r="D17" t="s">
        <v>219</v>
      </c>
      <c r="E17" t="e" cm="1">
        <f t="array" ref="E17">_xll.ReadKSpice(_xlfn.CONCAT("/",$B$1,"/",$B$2,"/",D17,"@V_Unit=",F17))</f>
        <v>#N/A</v>
      </c>
      <c r="F17" t="s">
        <v>41</v>
      </c>
      <c r="G17" t="e">
        <f t="shared" si="0"/>
        <v>#N/A</v>
      </c>
      <c r="H17" t="s">
        <v>39</v>
      </c>
    </row>
    <row r="18" spans="1:8" x14ac:dyDescent="0.3">
      <c r="A18" t="s">
        <v>16</v>
      </c>
      <c r="B18">
        <f>IFERROR(_xlfn.XLOOKUP(A18,'Appendix A'!A:A,'Appendix A'!I:I),"")</f>
        <v>39.58</v>
      </c>
      <c r="C18" t="s">
        <v>231</v>
      </c>
      <c r="D18" t="s">
        <v>232</v>
      </c>
      <c r="E18" t="e" cm="1">
        <f t="array" ref="E18">_xll.ReadKSpice(_xlfn.CONCAT("/",$B$1,"/",$B$2,"/",D18,"@V_Unit=",F18))</f>
        <v>#N/A</v>
      </c>
      <c r="F18" t="s">
        <v>14</v>
      </c>
      <c r="G18" t="e">
        <f t="shared" si="0"/>
        <v>#N/A</v>
      </c>
      <c r="H18" t="s">
        <v>42</v>
      </c>
    </row>
    <row r="19" spans="1:8" x14ac:dyDescent="0.3">
      <c r="B19">
        <v>0.31</v>
      </c>
      <c r="C19" t="s">
        <v>105</v>
      </c>
      <c r="D19" t="s">
        <v>114</v>
      </c>
      <c r="E19" t="e" cm="1">
        <f t="array" ref="E19">_xll.ReadKSpice(_xlfn.CONCAT("/",$B$1,"/",$B$2,"/",D19,"@V_Unit=",F19))</f>
        <v>#N/A</v>
      </c>
      <c r="F19" t="s">
        <v>43</v>
      </c>
      <c r="G19" t="e">
        <f t="shared" si="0"/>
        <v>#N/A</v>
      </c>
      <c r="H19" t="s">
        <v>44</v>
      </c>
    </row>
    <row r="20" spans="1:8" x14ac:dyDescent="0.3">
      <c r="A20" t="s">
        <v>47</v>
      </c>
      <c r="B20">
        <f>IFERROR(_xlfn.XLOOKUP(A20,'Appendix A'!A:A,'Appendix A'!I:I),"")</f>
        <v>1031.27</v>
      </c>
      <c r="C20" t="s">
        <v>46</v>
      </c>
      <c r="D20" t="s">
        <v>115</v>
      </c>
      <c r="E20" t="e" cm="1">
        <f t="array" ref="E20">_xll.ReadKSpice(_xlfn.CONCAT("/",$B$1,"/",$B$2,"/",D20,"@V_Unit=",F20))</f>
        <v>#N/A</v>
      </c>
      <c r="F20" t="s">
        <v>218</v>
      </c>
      <c r="G20" t="e">
        <f t="shared" si="0"/>
        <v>#N/A</v>
      </c>
      <c r="H20" t="s">
        <v>45</v>
      </c>
    </row>
    <row r="21" spans="1:8" x14ac:dyDescent="0.3">
      <c r="A21" t="s">
        <v>68</v>
      </c>
      <c r="B21">
        <f>IFERROR(_xlfn.XLOOKUP(A21,'Appendix A'!A:A,'Appendix A'!I:I),"")</f>
        <v>0.7</v>
      </c>
      <c r="C21" t="s">
        <v>49</v>
      </c>
      <c r="D21" t="s">
        <v>116</v>
      </c>
      <c r="E21" t="e" cm="1">
        <f t="array" ref="E21">_xll.ReadKSpice(_xlfn.CONCAT("/",$B$1,"/",$B$2,"/",D21,"@V_Unit=",F21))</f>
        <v>#N/A</v>
      </c>
      <c r="F21" t="s">
        <v>51</v>
      </c>
      <c r="G21" t="e">
        <f t="shared" si="0"/>
        <v>#N/A</v>
      </c>
      <c r="H21" t="s">
        <v>48</v>
      </c>
    </row>
    <row r="22" spans="1:8" x14ac:dyDescent="0.3">
      <c r="A22" t="s">
        <v>89</v>
      </c>
      <c r="B22">
        <f>IFERROR(_xlfn.XLOOKUP(A22,'Appendix A'!A:A,'Appendix A'!I:I),"")</f>
        <v>30.6</v>
      </c>
      <c r="C22" t="s">
        <v>53</v>
      </c>
      <c r="D22" t="s">
        <v>117</v>
      </c>
      <c r="E22" t="e" cm="1">
        <f t="array" ref="E22">_xll.ReadKSpice(_xlfn.CONCAT("/",$B$1,"/",$B$2,"/",D22,"@V_Unit=",F22))</f>
        <v>#N/A</v>
      </c>
      <c r="F22" t="s">
        <v>14</v>
      </c>
      <c r="G22" t="e">
        <f t="shared" si="0"/>
        <v>#N/A</v>
      </c>
      <c r="H22" t="s">
        <v>52</v>
      </c>
    </row>
    <row r="23" spans="1:8" x14ac:dyDescent="0.3">
      <c r="A23" t="s">
        <v>90</v>
      </c>
      <c r="B23">
        <f>IFERROR(_xlfn.XLOOKUP(A23,'Appendix A'!A:A,'Appendix A'!I:I),"")</f>
        <v>22.26</v>
      </c>
      <c r="C23" t="s">
        <v>55</v>
      </c>
      <c r="D23" t="s">
        <v>118</v>
      </c>
      <c r="E23" t="e" cm="1">
        <f t="array" ref="E23">_xll.ReadKSpice(_xlfn.CONCAT("/",$B$1,"/",$B$2,"/",D23,"@V_Unit=",F23))</f>
        <v>#N/A</v>
      </c>
      <c r="F23" t="s">
        <v>14</v>
      </c>
      <c r="G23" t="e">
        <f t="shared" si="0"/>
        <v>#N/A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f>IFERROR(_xlfn.XLOOKUP(A26,'Appendix A'!A:A,'Appendix A'!I:I),"")</f>
        <v>118.87</v>
      </c>
      <c r="C26" t="s">
        <v>12</v>
      </c>
      <c r="D26" t="s">
        <v>119</v>
      </c>
      <c r="E26" t="e" cm="1">
        <f t="array" ref="E26">_xll.ReadKSpice(_xlfn.CONCAT("/",$B$1,"/",$B$2,"/",D26,"@V_Unit=",F26))</f>
        <v>#N/A</v>
      </c>
      <c r="F26" t="s">
        <v>31</v>
      </c>
      <c r="G26" t="e">
        <f t="shared" ref="G26:G31" si="1">100*(E26-B26)/B26</f>
        <v>#N/A</v>
      </c>
    </row>
    <row r="27" spans="1:8" x14ac:dyDescent="0.3">
      <c r="A27" t="s">
        <v>67</v>
      </c>
      <c r="B27">
        <f>IFERROR(_xlfn.XLOOKUP(A27,'Appendix A'!A:A,'Appendix A'!I:I),"")</f>
        <v>1045.31</v>
      </c>
      <c r="C27" t="s">
        <v>235</v>
      </c>
      <c r="D27" t="s">
        <v>236</v>
      </c>
      <c r="E27" t="e" cm="1">
        <f t="array" ref="E27">_xll.ReadKSpice(_xlfn.CONCAT("/",$B$1,"/",$B$2,"/",D27,"@V_Unit=",F27))</f>
        <v>#N/A</v>
      </c>
      <c r="F27" t="s">
        <v>218</v>
      </c>
      <c r="G27" t="e">
        <f t="shared" si="1"/>
        <v>#N/A</v>
      </c>
    </row>
    <row r="28" spans="1:8" x14ac:dyDescent="0.3">
      <c r="A28" t="s">
        <v>13</v>
      </c>
      <c r="B28">
        <f>IFERROR(_xlfn.XLOOKUP(A28,'Appendix A'!A:A,'Appendix A'!I:I),"")</f>
        <v>41.86</v>
      </c>
      <c r="C28" t="s">
        <v>233</v>
      </c>
      <c r="D28" t="s">
        <v>234</v>
      </c>
      <c r="E28" t="e" cm="1">
        <f t="array" ref="E28">_xll.ReadKSpice(_xlfn.CONCAT("/",$B$1,"/",$B$2,"/",D28,"@V_Unit=",F28))</f>
        <v>#N/A</v>
      </c>
      <c r="F28" t="s">
        <v>14</v>
      </c>
      <c r="G28" t="e">
        <f t="shared" si="1"/>
        <v>#N/A</v>
      </c>
    </row>
    <row r="29" spans="1:8" x14ac:dyDescent="0.3">
      <c r="A29" t="s">
        <v>58</v>
      </c>
      <c r="B29">
        <f>IFERROR(_xlfn.XLOOKUP(A29,'Appendix A'!A:A,'Appendix A'!I:I),"")</f>
        <v>238.82</v>
      </c>
      <c r="C29" t="s">
        <v>120</v>
      </c>
      <c r="D29" t="s">
        <v>121</v>
      </c>
      <c r="E29" t="e" cm="1">
        <f t="array" ref="E29">_xll.ReadKSpice(_xlfn.CONCAT("/",$B$1,"/",$B$2,"/",D29,"@V_Unit=",F29))</f>
        <v>#N/A</v>
      </c>
      <c r="F29" t="s">
        <v>33</v>
      </c>
      <c r="G29" t="e">
        <f t="shared" si="1"/>
        <v>#N/A</v>
      </c>
    </row>
    <row r="30" spans="1:8" x14ac:dyDescent="0.3">
      <c r="A30" t="s">
        <v>25</v>
      </c>
      <c r="B30">
        <f>IFERROR(_xlfn.XLOOKUP(A30,'Appendix A'!A:A,'Appendix A'!I:I),"")</f>
        <v>50.02</v>
      </c>
      <c r="C30" t="s">
        <v>109</v>
      </c>
      <c r="D30" t="s">
        <v>110</v>
      </c>
      <c r="E30" t="e" cm="1">
        <f t="array" ref="E30">_xll.ReadKSpice(_xlfn.CONCAT("/",$B$1,"/",$B$2,"/",D30,"@V_Unit=",F30))</f>
        <v>#N/A</v>
      </c>
      <c r="F30" t="s">
        <v>14</v>
      </c>
      <c r="G30" t="e">
        <f t="shared" si="1"/>
        <v>#N/A</v>
      </c>
      <c r="H30" t="s">
        <v>37</v>
      </c>
    </row>
    <row r="31" spans="1:8" x14ac:dyDescent="0.3">
      <c r="A31" t="s">
        <v>25</v>
      </c>
      <c r="B31">
        <f>IFERROR(_xlfn.XLOOKUP(A31,'Appendix A'!A:A,'Appendix A'!I:I),"")</f>
        <v>50.02</v>
      </c>
      <c r="C31" t="s">
        <v>221</v>
      </c>
      <c r="D31" t="s">
        <v>222</v>
      </c>
      <c r="E31" t="e" cm="1">
        <f t="array" ref="E31">_xll.ReadKSpice(_xlfn.CONCAT("/",$B$1,"/",$B$2,"/",D31,"@V_Unit=",F31))</f>
        <v>#N/A</v>
      </c>
      <c r="F31" t="s">
        <v>14</v>
      </c>
      <c r="G31" t="e">
        <f t="shared" si="1"/>
        <v>#N/A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f>IFERROR(_xlfn.XLOOKUP(A34,'Appendix A'!A:A,'Appendix A'!I:I),"")</f>
        <v>4.57</v>
      </c>
      <c r="C34" t="s">
        <v>122</v>
      </c>
      <c r="D34" t="s">
        <v>123</v>
      </c>
      <c r="E34" t="e" cm="1">
        <f t="array" ref="E34">_xll.ReadKSpice(_xlfn.CONCAT("/",$B$1,"/",$B$2,"/",D34,"@V_Unit=",F34))</f>
        <v>#N/A</v>
      </c>
      <c r="F34" t="s">
        <v>229</v>
      </c>
      <c r="G34" t="e">
        <f>100*(E34-B34)/B34</f>
        <v>#N/A</v>
      </c>
      <c r="H34" t="s">
        <v>96</v>
      </c>
    </row>
    <row r="35" spans="1:8" x14ac:dyDescent="0.3">
      <c r="A35" t="s">
        <v>124</v>
      </c>
      <c r="B35" t="str">
        <f>IFERROR(_xlfn.XLOOKUP(A35,'Appendix A'!A:A,'Appendix A'!D:D),"")</f>
        <v/>
      </c>
      <c r="C35" t="s">
        <v>128</v>
      </c>
      <c r="D35" t="s">
        <v>129</v>
      </c>
      <c r="E35" t="e" cm="1">
        <f t="array" ref="E35">_xll.ReadKSpice(_xlfn.CONCAT("/",$B$1,"/",$B$2,"/",D35,"@V_Unit=",F35))</f>
        <v>#N/A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tr">
        <f>IFERROR(_xlfn.XLOOKUP(A36,'Appendix A'!A:A,'Appendix A'!D:D),"")</f>
        <v/>
      </c>
      <c r="C36" t="s">
        <v>128</v>
      </c>
      <c r="D36" t="s">
        <v>130</v>
      </c>
      <c r="E36" t="e" cm="1">
        <f t="array" ref="E36">_xll.ReadKSpice(_xlfn.CONCAT("/",$B$1,"/",$B$2,"/",D36,"@V_Unit=",F36))</f>
        <v>#N/A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f>IFERROR(_xlfn.XLOOKUP(A37,'Appendix A'!A:A,'Appendix A'!I:I),"")</f>
        <v>1.38</v>
      </c>
      <c r="C37" t="s">
        <v>128</v>
      </c>
      <c r="E37" t="e">
        <f>E36+E35</f>
        <v>#N/A</v>
      </c>
      <c r="F37" t="s">
        <v>229</v>
      </c>
      <c r="G37" t="e">
        <f>100*(E37-B37)/B37</f>
        <v>#N/A</v>
      </c>
      <c r="H37" t="s">
        <v>230</v>
      </c>
    </row>
    <row r="38" spans="1:8" x14ac:dyDescent="0.3">
      <c r="A38" t="s">
        <v>47</v>
      </c>
      <c r="B38">
        <f>IFERROR(_xlfn.XLOOKUP(A38,'Appendix A'!A:A,'Appendix A'!I:I),"")</f>
        <v>1031.27</v>
      </c>
      <c r="C38" t="s">
        <v>131</v>
      </c>
      <c r="D38" t="s">
        <v>133</v>
      </c>
      <c r="E38" t="e" cm="1">
        <f t="array" ref="E38">_xll.ReadKSpice(_xlfn.CONCAT("/",$B$1,"/",$B$2,"/",D38,"@V_Unit=",F38))</f>
        <v>#N/A</v>
      </c>
      <c r="F38" t="s">
        <v>218</v>
      </c>
      <c r="G38" t="e">
        <f t="shared" ref="G38:G49" si="2">100*(E38-B38)/B38</f>
        <v>#N/A</v>
      </c>
    </row>
    <row r="39" spans="1:8" x14ac:dyDescent="0.3">
      <c r="A39" t="s">
        <v>66</v>
      </c>
      <c r="B39">
        <f>IFERROR(_xlfn.XLOOKUP(A39,'Appendix A'!A:A,'Appendix A'!I:I),"")</f>
        <v>1041.48</v>
      </c>
      <c r="C39" t="s">
        <v>132</v>
      </c>
      <c r="D39" t="s">
        <v>134</v>
      </c>
      <c r="E39" t="e" cm="1">
        <f t="array" ref="E39">_xll.ReadKSpice(_xlfn.CONCAT("/",$B$1,"/",$B$2,"/",D39,"@V_Unit=",F39))</f>
        <v>#N/A</v>
      </c>
      <c r="F39" t="s">
        <v>218</v>
      </c>
      <c r="G39" t="e">
        <f t="shared" si="2"/>
        <v>#N/A</v>
      </c>
    </row>
    <row r="40" spans="1:8" x14ac:dyDescent="0.3">
      <c r="A40" t="s">
        <v>16</v>
      </c>
      <c r="B40">
        <f>IFERROR(_xlfn.XLOOKUP(A40,'Appendix A'!A:A,'Appendix A'!I:I),"")</f>
        <v>39.58</v>
      </c>
      <c r="C40" t="s">
        <v>233</v>
      </c>
      <c r="D40" t="s">
        <v>234</v>
      </c>
      <c r="E40" t="e" cm="1">
        <f t="array" ref="E40">_xll.ReadKSpice(_xlfn.CONCAT("/",$B$1,"/",$B$2,"/",D40,"@V_Unit=",F40))</f>
        <v>#N/A</v>
      </c>
      <c r="F40" t="s">
        <v>14</v>
      </c>
      <c r="G40" t="e">
        <f t="shared" si="2"/>
        <v>#N/A</v>
      </c>
      <c r="H40" t="s">
        <v>237</v>
      </c>
    </row>
    <row r="41" spans="1:8" x14ac:dyDescent="0.3">
      <c r="A41" t="s">
        <v>73</v>
      </c>
      <c r="B41">
        <f>IFERROR(_xlfn.XLOOKUP(A41,'Appendix A'!A:A,'Appendix A'!I:I),"")</f>
        <v>39.159999999999997</v>
      </c>
      <c r="C41" t="s">
        <v>137</v>
      </c>
      <c r="D41" t="s">
        <v>146</v>
      </c>
      <c r="E41" t="e" cm="1">
        <f t="array" ref="E41">_xll.ReadKSpice(_xlfn.CONCAT("/",$B$1,"/",$B$2,"/",D41,"@V_Unit=",F41))</f>
        <v>#N/A</v>
      </c>
      <c r="F41" t="s">
        <v>14</v>
      </c>
      <c r="G41" t="e">
        <f t="shared" si="2"/>
        <v>#N/A</v>
      </c>
    </row>
    <row r="42" spans="1:8" x14ac:dyDescent="0.3">
      <c r="A42" t="s">
        <v>17</v>
      </c>
      <c r="B42">
        <f>IFERROR(_xlfn.XLOOKUP(A42,'Appendix A'!A:A,'Appendix A'!I:I),"")</f>
        <v>40.79</v>
      </c>
      <c r="C42" t="s">
        <v>18</v>
      </c>
      <c r="D42" t="s">
        <v>147</v>
      </c>
      <c r="E42" t="e" cm="1">
        <f t="array" ref="E42">_xll.ReadKSpice(_xlfn.CONCAT("/",$B$1,"/",$B$2,"/",D42,"@V_Unit=",F42))</f>
        <v>#N/A</v>
      </c>
      <c r="F42" t="s">
        <v>14</v>
      </c>
      <c r="G42" t="e">
        <f t="shared" si="2"/>
        <v>#N/A</v>
      </c>
    </row>
    <row r="43" spans="1:8" x14ac:dyDescent="0.3">
      <c r="A43" t="s">
        <v>19</v>
      </c>
      <c r="B43">
        <f>IFERROR(_xlfn.XLOOKUP(A43,'Appendix A'!A:A,'Appendix A'!I:I),"")</f>
        <v>43.82</v>
      </c>
      <c r="C43" t="s">
        <v>138</v>
      </c>
      <c r="D43" t="s">
        <v>148</v>
      </c>
      <c r="E43" t="e" cm="1">
        <f t="array" ref="E43">_xll.ReadKSpice(_xlfn.CONCAT("/",$B$1,"/",$B$2,"/",D43,"@V_Unit=",F43))</f>
        <v>#N/A</v>
      </c>
      <c r="F43" t="s">
        <v>14</v>
      </c>
      <c r="G43" t="e">
        <f t="shared" si="2"/>
        <v>#N/A</v>
      </c>
    </row>
    <row r="44" spans="1:8" x14ac:dyDescent="0.3">
      <c r="A44" t="s">
        <v>20</v>
      </c>
      <c r="B44">
        <f>IFERROR(_xlfn.XLOOKUP(A44,'Appendix A'!A:A,'Appendix A'!I:I),"")</f>
        <v>45.76</v>
      </c>
      <c r="C44" t="s">
        <v>139</v>
      </c>
      <c r="D44" t="s">
        <v>149</v>
      </c>
      <c r="E44" t="e" cm="1">
        <f t="array" ref="E44">_xll.ReadKSpice(_xlfn.CONCAT("/",$B$1,"/",$B$2,"/",D44,"@V_Unit=",F44))</f>
        <v>#N/A</v>
      </c>
      <c r="F44" t="s">
        <v>14</v>
      </c>
      <c r="G44" t="e">
        <f t="shared" si="2"/>
        <v>#N/A</v>
      </c>
    </row>
    <row r="45" spans="1:8" x14ac:dyDescent="0.3">
      <c r="A45" t="s">
        <v>21</v>
      </c>
      <c r="B45">
        <f>IFERROR(_xlfn.XLOOKUP(A45,'Appendix A'!A:A,'Appendix A'!I:I),"")</f>
        <v>47.36</v>
      </c>
      <c r="C45" t="s">
        <v>140</v>
      </c>
      <c r="D45" t="s">
        <v>150</v>
      </c>
      <c r="E45" t="e" cm="1">
        <f t="array" ref="E45">_xll.ReadKSpice(_xlfn.CONCAT("/",$B$1,"/",$B$2,"/",D45,"@V_Unit=",F45))</f>
        <v>#N/A</v>
      </c>
      <c r="F45" t="s">
        <v>14</v>
      </c>
      <c r="G45" t="e">
        <f t="shared" si="2"/>
        <v>#N/A</v>
      </c>
    </row>
    <row r="46" spans="1:8" x14ac:dyDescent="0.3">
      <c r="A46" t="s">
        <v>22</v>
      </c>
      <c r="B46">
        <f>IFERROR(_xlfn.XLOOKUP(A46,'Appendix A'!A:A,'Appendix A'!I:I),"")</f>
        <v>52.69</v>
      </c>
      <c r="C46" t="s">
        <v>141</v>
      </c>
      <c r="D46" t="s">
        <v>151</v>
      </c>
      <c r="E46" t="e" cm="1">
        <f t="array" ref="E46">_xll.ReadKSpice(_xlfn.CONCAT("/",$B$1,"/",$B$2,"/",D46,"@V_Unit=",F46))</f>
        <v>#N/A</v>
      </c>
      <c r="F46" t="s">
        <v>14</v>
      </c>
      <c r="G46" t="e">
        <f t="shared" si="2"/>
        <v>#N/A</v>
      </c>
    </row>
    <row r="47" spans="1:8" x14ac:dyDescent="0.3">
      <c r="A47" t="s">
        <v>23</v>
      </c>
      <c r="B47">
        <f>IFERROR(_xlfn.XLOOKUP(A47,'Appendix A'!A:A,'Appendix A'!I:I),"")</f>
        <v>55.6</v>
      </c>
      <c r="C47" t="s">
        <v>142</v>
      </c>
      <c r="D47" t="s">
        <v>152</v>
      </c>
      <c r="E47" t="e" cm="1">
        <f t="array" ref="E47">_xll.ReadKSpice(_xlfn.CONCAT("/",$B$1,"/",$B$2,"/",D47,"@V_Unit=",F47))</f>
        <v>#N/A</v>
      </c>
      <c r="F47" t="s">
        <v>14</v>
      </c>
      <c r="G47" t="e">
        <f t="shared" si="2"/>
        <v>#N/A</v>
      </c>
    </row>
    <row r="48" spans="1:8" x14ac:dyDescent="0.3">
      <c r="A48" t="s">
        <v>24</v>
      </c>
      <c r="B48">
        <f>IFERROR(_xlfn.XLOOKUP(A48,'Appendix A'!A:A,'Appendix A'!I:I),"")</f>
        <v>54.88</v>
      </c>
      <c r="C48" t="s">
        <v>143</v>
      </c>
      <c r="D48" t="s">
        <v>153</v>
      </c>
      <c r="E48" t="e" cm="1">
        <f t="array" ref="E48">_xll.ReadKSpice(_xlfn.CONCAT("/",$B$1,"/",$B$2,"/",D48,"@V_Unit=",F48))</f>
        <v>#N/A</v>
      </c>
      <c r="F48" t="s">
        <v>14</v>
      </c>
      <c r="G48" t="e">
        <f t="shared" si="2"/>
        <v>#N/A</v>
      </c>
    </row>
    <row r="49" spans="1:8" x14ac:dyDescent="0.3">
      <c r="A49" t="s">
        <v>83</v>
      </c>
      <c r="B49">
        <f>IFERROR(_xlfn.XLOOKUP(A49,'Appendix A'!A:A,'Appendix A'!I:I),"")</f>
        <v>47.26</v>
      </c>
      <c r="C49" t="s">
        <v>144</v>
      </c>
      <c r="D49" t="s">
        <v>154</v>
      </c>
      <c r="E49" t="e" cm="1">
        <f t="array" ref="E49">_xll.ReadKSpice(_xlfn.CONCAT("/",$B$1,"/",$B$2,"/",D49,"@V_Unit=",F49))</f>
        <v>#N/A</v>
      </c>
      <c r="F49" t="s">
        <v>14</v>
      </c>
      <c r="G49" t="e">
        <f t="shared" si="2"/>
        <v>#N/A</v>
      </c>
    </row>
    <row r="50" spans="1:8" x14ac:dyDescent="0.3">
      <c r="A50" t="s">
        <v>70</v>
      </c>
      <c r="B50">
        <f>IFERROR(_xlfn.XLOOKUP(A50,'Appendix A'!A:A,'Appendix A'!I:I),"")</f>
        <v>6.78</v>
      </c>
      <c r="F50" t="s">
        <v>217</v>
      </c>
      <c r="G50" t="s">
        <v>202</v>
      </c>
    </row>
    <row r="51" spans="1:8" x14ac:dyDescent="0.3">
      <c r="A51" t="s">
        <v>64</v>
      </c>
      <c r="B51">
        <f>IFERROR(_xlfn.XLOOKUP(A51,'Appendix A'!A:A,'Appendix A'!I:I),"")</f>
        <v>11.95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f>B50+B51</f>
        <v>18.73</v>
      </c>
      <c r="C52" t="s">
        <v>145</v>
      </c>
      <c r="D52" t="s">
        <v>155</v>
      </c>
      <c r="E52" t="e" cm="1">
        <f t="array" ref="E52">_xll.ReadKSpice(_xlfn.CONCAT("/",$B$1,"/",$B$2,"/",D52,"@V_Unit=",F52))</f>
        <v>#N/A</v>
      </c>
      <c r="F52" t="s">
        <v>217</v>
      </c>
      <c r="G52" t="e">
        <f>100*(E52-B52)/B52</f>
        <v>#N/A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f>IFERROR(_xlfn.XLOOKUP(A55,'Appendix A'!A:A,'Appendix A'!I:I),"")</f>
        <v>241.74</v>
      </c>
      <c r="C55" t="s">
        <v>156</v>
      </c>
      <c r="D55" t="s">
        <v>157</v>
      </c>
      <c r="E55" t="e" cm="1">
        <f t="array" ref="E55">_xll.ReadKSpice(_xlfn.CONCAT("/",$B$1,"/",$B$2,"/",D55,"@V_Unit=",F55))</f>
        <v>#N/A</v>
      </c>
      <c r="F55" t="s">
        <v>33</v>
      </c>
      <c r="G55" t="e">
        <f>100*(E55-B55)/B55</f>
        <v>#N/A</v>
      </c>
    </row>
    <row r="56" spans="1:8" x14ac:dyDescent="0.3">
      <c r="A56" t="s">
        <v>74</v>
      </c>
      <c r="B56">
        <f>IFERROR(_xlfn.XLOOKUP(A56,'Appendix A'!A:A,'Appendix A'!I:I),"")</f>
        <v>39.159999999999997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f>IFERROR(_xlfn.XLOOKUP(A57,'Appendix A'!A:A,'Appendix A'!I:I),"")</f>
        <v>43.21</v>
      </c>
      <c r="C57" t="s">
        <v>158</v>
      </c>
      <c r="D57" t="s">
        <v>159</v>
      </c>
      <c r="E57" t="e" cm="1">
        <f t="array" ref="E57">_xll.ReadKSpice(_xlfn.CONCAT("/",$B$1,"/",$B$2,"/",D57,"@V_Unit=",F57))</f>
        <v>#N/A</v>
      </c>
      <c r="F57" t="s">
        <v>14</v>
      </c>
      <c r="G57" t="e">
        <f>100*(E57-B57)/B57</f>
        <v>#N/A</v>
      </c>
    </row>
    <row r="58" spans="1:8" x14ac:dyDescent="0.3">
      <c r="A58" t="s">
        <v>76</v>
      </c>
      <c r="B58">
        <f>IFERROR(_xlfn.XLOOKUP(A58,'Appendix A'!A:A,'Appendix A'!I:I),"")</f>
        <v>38.56</v>
      </c>
      <c r="C58" t="s">
        <v>161</v>
      </c>
      <c r="D58" t="s">
        <v>160</v>
      </c>
      <c r="E58" t="e" cm="1">
        <f t="array" ref="E58">_xll.ReadKSpice(_xlfn.CONCAT("/",$B$1,"/",$B$2,"/",D58,"@V_Unit=",F58))</f>
        <v>#N/A</v>
      </c>
      <c r="F58" t="s">
        <v>14</v>
      </c>
      <c r="G58" t="e">
        <f>100*(E58-B58)/B58</f>
        <v>#N/A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f>IFERROR(_xlfn.XLOOKUP(A61,'Appendix A'!A:A,'Appendix A'!I:I),"")</f>
        <v>113.24</v>
      </c>
      <c r="C61" t="s">
        <v>162</v>
      </c>
      <c r="D61" t="s">
        <v>169</v>
      </c>
      <c r="E61" t="e" cm="1">
        <f t="array" ref="E61">_xll.ReadKSpice(_xlfn.CONCAT("/",$B$1,"/",$B$2,"/",D61,"@V_Unit=",F61))</f>
        <v>#N/A</v>
      </c>
      <c r="F61" t="s">
        <v>14</v>
      </c>
      <c r="G61" t="e">
        <f t="shared" ref="G61:G68" si="3">100*(E61-B61)/B61</f>
        <v>#N/A</v>
      </c>
    </row>
    <row r="62" spans="1:8" x14ac:dyDescent="0.3">
      <c r="A62" t="s">
        <v>85</v>
      </c>
      <c r="B62">
        <f>IFERROR(_xlfn.XLOOKUP(A62,'Appendix A'!A:A,'Appendix A'!I:I),"")</f>
        <v>101.82</v>
      </c>
      <c r="C62" t="s">
        <v>163</v>
      </c>
      <c r="D62" t="s">
        <v>170</v>
      </c>
      <c r="E62" t="e" cm="1">
        <f t="array" ref="E62">_xll.ReadKSpice(_xlfn.CONCAT("/",$B$1,"/",$B$2,"/",D62,"@V_Unit=",F62))</f>
        <v>#N/A</v>
      </c>
      <c r="F62" t="s">
        <v>14</v>
      </c>
      <c r="G62" t="e">
        <f t="shared" si="3"/>
        <v>#N/A</v>
      </c>
    </row>
    <row r="63" spans="1:8" x14ac:dyDescent="0.3">
      <c r="A63" t="s">
        <v>86</v>
      </c>
      <c r="B63">
        <f>IFERROR(_xlfn.XLOOKUP(A63,'Appendix A'!A:A,'Appendix A'!I:I),"")</f>
        <v>101.69</v>
      </c>
      <c r="C63" t="s">
        <v>164</v>
      </c>
      <c r="D63" t="s">
        <v>171</v>
      </c>
      <c r="E63" t="e" cm="1">
        <f t="array" ref="E63">_xll.ReadKSpice(_xlfn.CONCAT("/",$B$1,"/",$B$2,"/",D63,"@V_Unit=",F63))</f>
        <v>#N/A</v>
      </c>
      <c r="F63" t="s">
        <v>14</v>
      </c>
      <c r="G63" t="e">
        <f t="shared" si="3"/>
        <v>#N/A</v>
      </c>
    </row>
    <row r="64" spans="1:8" x14ac:dyDescent="0.3">
      <c r="A64" t="s">
        <v>87</v>
      </c>
      <c r="B64">
        <f>IFERROR(_xlfn.XLOOKUP(A64,'Appendix A'!A:A,'Appendix A'!I:I),"")</f>
        <v>101.99</v>
      </c>
      <c r="C64" t="s">
        <v>165</v>
      </c>
      <c r="D64" t="s">
        <v>172</v>
      </c>
      <c r="E64" t="e" cm="1">
        <f t="array" ref="E64">_xll.ReadKSpice(_xlfn.CONCAT("/",$B$1,"/",$B$2,"/",D64,"@V_Unit=",F64))</f>
        <v>#N/A</v>
      </c>
      <c r="F64" t="s">
        <v>14</v>
      </c>
      <c r="G64" t="e">
        <f t="shared" si="3"/>
        <v>#N/A</v>
      </c>
    </row>
    <row r="65" spans="1:8" x14ac:dyDescent="0.3">
      <c r="A65" t="s">
        <v>88</v>
      </c>
      <c r="B65">
        <f>IFERROR(_xlfn.XLOOKUP(A65,'Appendix A'!A:A,'Appendix A'!I:I),"")</f>
        <v>102.18</v>
      </c>
      <c r="C65" t="s">
        <v>166</v>
      </c>
      <c r="D65" t="s">
        <v>173</v>
      </c>
      <c r="E65" t="e" cm="1">
        <f t="array" ref="E65">_xll.ReadKSpice(_xlfn.CONCAT("/",$B$1,"/",$B$2,"/",D65,"@V_Unit=",F65))</f>
        <v>#N/A</v>
      </c>
      <c r="F65" t="s">
        <v>14</v>
      </c>
      <c r="G65" t="e">
        <f t="shared" si="3"/>
        <v>#N/A</v>
      </c>
    </row>
    <row r="66" spans="1:8" x14ac:dyDescent="0.3">
      <c r="A66" t="s">
        <v>79</v>
      </c>
      <c r="B66">
        <f>IFERROR(_xlfn.XLOOKUP(A66,'Appendix A'!A:A,'Appendix A'!I:I),"")</f>
        <v>102.8</v>
      </c>
      <c r="C66" t="s">
        <v>227</v>
      </c>
      <c r="D66" t="s">
        <v>228</v>
      </c>
      <c r="E66" t="e" cm="1">
        <f t="array" ref="E66">_xll.ReadKSpice(_xlfn.CONCAT("/",$B$1,"/",$B$2,"/",D66,"@V_Unit=",F66))</f>
        <v>#N/A</v>
      </c>
      <c r="F66" t="s">
        <v>14</v>
      </c>
      <c r="G66" t="e">
        <f t="shared" si="3"/>
        <v>#N/A</v>
      </c>
    </row>
    <row r="67" spans="1:8" x14ac:dyDescent="0.3">
      <c r="A67" t="s">
        <v>81</v>
      </c>
      <c r="B67">
        <f>IFERROR(_xlfn.XLOOKUP(A67,'Appendix A'!A:A,'Appendix A'!I:I),"")</f>
        <v>108.57</v>
      </c>
      <c r="C67" t="s">
        <v>167</v>
      </c>
      <c r="D67" t="s">
        <v>174</v>
      </c>
      <c r="E67" t="e" cm="1">
        <f t="array" ref="E67">_xll.ReadKSpice(_xlfn.CONCAT("/",$B$1,"/",$B$2,"/",D67,"@V_Unit=",F67))</f>
        <v>#N/A</v>
      </c>
      <c r="F67" t="s">
        <v>14</v>
      </c>
      <c r="G67" t="e">
        <f t="shared" si="3"/>
        <v>#N/A</v>
      </c>
    </row>
    <row r="68" spans="1:8" x14ac:dyDescent="0.3">
      <c r="A68" t="s">
        <v>82</v>
      </c>
      <c r="B68">
        <f>IFERROR(_xlfn.XLOOKUP(A68,'Appendix A'!A:A,'Appendix A'!I:I),"")</f>
        <v>101.07</v>
      </c>
      <c r="C68" t="s">
        <v>168</v>
      </c>
      <c r="D68" t="s">
        <v>175</v>
      </c>
      <c r="E68" t="e" cm="1">
        <f t="array" ref="E68">_xll.ReadKSpice(_xlfn.CONCAT("/",$B$1,"/",$B$2,"/",D68,"@V_Unit=",F68))</f>
        <v>#N/A</v>
      </c>
      <c r="F68" t="s">
        <v>14</v>
      </c>
      <c r="G68" t="e">
        <f t="shared" si="3"/>
        <v>#N/A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f>IFERROR(_xlfn.XLOOKUP(A71,'Appendix A'!A:A,'Appendix A'!I:I),"")</f>
        <v>3.49</v>
      </c>
      <c r="C71" t="s">
        <v>176</v>
      </c>
      <c r="D71" t="s">
        <v>181</v>
      </c>
      <c r="E71" t="e" cm="1">
        <f t="array" ref="E71">_xll.ReadKSpice(_xlfn.CONCAT("/",$B$1,"/",$B$2,"/",D71,"@V_Unit=",F71))</f>
        <v>#N/A</v>
      </c>
      <c r="F71" t="s">
        <v>33</v>
      </c>
      <c r="G71" t="e">
        <f t="shared" ref="G71:G76" si="4">100*(E71-B71)/B71</f>
        <v>#N/A</v>
      </c>
    </row>
    <row r="72" spans="1:8" x14ac:dyDescent="0.3">
      <c r="A72" t="s">
        <v>63</v>
      </c>
      <c r="B72">
        <f>IFERROR(_xlfn.XLOOKUP(A72,'Appendix A'!A:A,'Appendix A'!I:I),"")</f>
        <v>8.33</v>
      </c>
      <c r="C72" t="s">
        <v>177</v>
      </c>
      <c r="D72" t="s">
        <v>182</v>
      </c>
      <c r="E72" t="e" cm="1">
        <f t="array" ref="E72">_xll.ReadKSpice(_xlfn.CONCAT("/",$B$1,"/",$B$2,"/",D72,"@V_Unit=",F72))</f>
        <v>#N/A</v>
      </c>
      <c r="F72" t="s">
        <v>41</v>
      </c>
      <c r="G72" t="e">
        <f t="shared" si="4"/>
        <v>#N/A</v>
      </c>
    </row>
    <row r="73" spans="1:8" x14ac:dyDescent="0.3">
      <c r="A73" t="s">
        <v>65</v>
      </c>
      <c r="B73">
        <f>IFERROR(_xlfn.XLOOKUP(A73,'Appendix A'!A:A,'Appendix A'!I:I),"")</f>
        <v>54.39</v>
      </c>
      <c r="C73" t="s">
        <v>226</v>
      </c>
      <c r="D73" t="s">
        <v>225</v>
      </c>
      <c r="E73" t="e" cm="1">
        <f t="array" ref="E73">_xll.ReadKSpice(_xlfn.CONCAT("/",$B$1,"/",$B$2,"/",D73,"@V_Unit=",F73))</f>
        <v>#N/A</v>
      </c>
      <c r="F73" t="s">
        <v>217</v>
      </c>
      <c r="G73" t="e">
        <f t="shared" si="4"/>
        <v>#N/A</v>
      </c>
    </row>
    <row r="74" spans="1:8" x14ac:dyDescent="0.3">
      <c r="A74" t="s">
        <v>68</v>
      </c>
      <c r="B74">
        <f>IFERROR(_xlfn.XLOOKUP(A74,'Appendix A'!A:A,'Appendix A'!I:I),"")</f>
        <v>0.7</v>
      </c>
      <c r="C74" t="s">
        <v>178</v>
      </c>
      <c r="D74" t="s">
        <v>183</v>
      </c>
      <c r="E74" t="e" cm="1">
        <f t="array" ref="E74">_xll.ReadKSpice(_xlfn.CONCAT("/",$B$1,"/",$B$2,"/",D74,"@V_Unit=",F74))</f>
        <v>#N/A</v>
      </c>
      <c r="F74" t="s">
        <v>51</v>
      </c>
      <c r="G74" t="e">
        <f t="shared" si="4"/>
        <v>#N/A</v>
      </c>
    </row>
    <row r="75" spans="1:8" x14ac:dyDescent="0.3">
      <c r="A75" t="s">
        <v>80</v>
      </c>
      <c r="B75">
        <f>IFERROR(_xlfn.XLOOKUP(A75,'Appendix A'!A:A,'Appendix A'!I:I),"")</f>
        <v>19.07</v>
      </c>
      <c r="C75" t="s">
        <v>179</v>
      </c>
      <c r="D75" t="s">
        <v>184</v>
      </c>
      <c r="E75" t="e" cm="1">
        <f t="array" ref="E75">_xll.ReadKSpice(_xlfn.CONCAT("/",$B$1,"/",$B$2,"/",D75,"@V_Unit=",F75))</f>
        <v>#N/A</v>
      </c>
      <c r="F75" t="s">
        <v>14</v>
      </c>
      <c r="G75" t="e">
        <f t="shared" si="4"/>
        <v>#N/A</v>
      </c>
    </row>
    <row r="76" spans="1:8" x14ac:dyDescent="0.3">
      <c r="A76" t="s">
        <v>206</v>
      </c>
      <c r="B76">
        <f>IFERROR(_xlfn.XLOOKUP(A76,'Appendix A'!A:A,'Appendix A'!I:I),"")</f>
        <v>113.85</v>
      </c>
      <c r="C76" t="s">
        <v>180</v>
      </c>
      <c r="D76" t="s">
        <v>185</v>
      </c>
      <c r="E76" t="e" cm="1">
        <f t="array" ref="E76">_xll.ReadKSpice(_xlfn.CONCAT("/",$B$1,"/",$B$2,"/",D76,"@V_Unit=",F76))</f>
        <v>#N/A</v>
      </c>
      <c r="F76" t="s">
        <v>14</v>
      </c>
      <c r="G76" t="e">
        <f t="shared" si="4"/>
        <v>#N/A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f>IFERROR(_xlfn.XLOOKUP(A79,'Appendix A'!A:A,'Appendix A'!I:I),"")</f>
        <v>6.63</v>
      </c>
      <c r="C79" t="s">
        <v>186</v>
      </c>
      <c r="D79" t="s">
        <v>187</v>
      </c>
      <c r="E79" t="e" cm="1">
        <f t="array" ref="E79">_xll.ReadKSpice(_xlfn.CONCAT("/",$B$1,"/",$B$2,"/",D79,"@V_Unit=",F79))</f>
        <v>#N/A</v>
      </c>
      <c r="F79" t="s">
        <v>33</v>
      </c>
      <c r="G79" t="e">
        <f>100*(E79-B79)/B79</f>
        <v>#N/A</v>
      </c>
    </row>
    <row r="80" spans="1:8" x14ac:dyDescent="0.3">
      <c r="A80" t="s">
        <v>69</v>
      </c>
      <c r="B80">
        <f>IFERROR(_xlfn.XLOOKUP(A80,'Appendix A'!A:A,'Appendix A'!I:I),"")</f>
        <v>0.68</v>
      </c>
      <c r="C80" t="s">
        <v>223</v>
      </c>
      <c r="D80" t="s">
        <v>224</v>
      </c>
      <c r="E80" t="e" cm="1">
        <f t="array" ref="E80">_xll.ReadKSpice(_xlfn.CONCAT("/",$B$1,"/",$B$2,"/",D80,"@V_Unit=",F80))</f>
        <v>#N/A</v>
      </c>
      <c r="F80" t="s">
        <v>51</v>
      </c>
      <c r="G80" t="e">
        <f>100*(E80-B80)/B80</f>
        <v>#N/A</v>
      </c>
    </row>
    <row r="81" spans="1:8" x14ac:dyDescent="0.3">
      <c r="G81" t="s">
        <v>202</v>
      </c>
    </row>
    <row r="82" spans="1:8" x14ac:dyDescent="0.3">
      <c r="A82" s="6" t="s">
        <v>99</v>
      </c>
      <c r="B82" t="str">
        <f>IFERROR(_xlfn.XLOOKUP(A82,'Appendix A'!A:A,'Appendix A'!D:D),"")</f>
        <v/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f>IFERROR(_xlfn.XLOOKUP(A83,'Appendix A'!A:A,'Appendix A'!I:I),"")</f>
        <v>41.48</v>
      </c>
      <c r="C83" t="s">
        <v>188</v>
      </c>
      <c r="D83" t="s">
        <v>191</v>
      </c>
      <c r="E83" t="e" cm="1">
        <f t="array" ref="E83">_xll.ReadKSpice(_xlfn.CONCAT("/",$B$1,"/",$B$2,"/",D83,"@V_Unit=",F83))</f>
        <v>#N/A</v>
      </c>
      <c r="F83" t="s">
        <v>14</v>
      </c>
      <c r="G83" t="e">
        <f>100*(E83-B83)/B83</f>
        <v>#N/A</v>
      </c>
    </row>
    <row r="84" spans="1:8" x14ac:dyDescent="0.3">
      <c r="A84" t="s">
        <v>135</v>
      </c>
      <c r="B84" t="str">
        <f>IFERROR(_xlfn.XLOOKUP(A84,'Appendix A'!A:A,'Appendix A'!I:I),"")</f>
        <v/>
      </c>
      <c r="C84" t="s">
        <v>189</v>
      </c>
      <c r="D84" t="s">
        <v>192</v>
      </c>
      <c r="E84" t="e" cm="1">
        <f t="array" ref="E84">_xll.ReadKSpice(_xlfn.CONCAT("/",$B$1,"/",$B$2,"/",D84,"@V_Unit=",F84))</f>
        <v>#N/A</v>
      </c>
      <c r="F84" t="s">
        <v>14</v>
      </c>
      <c r="G84" t="e">
        <f>100*(E84-B84)/B84</f>
        <v>#N/A</v>
      </c>
      <c r="H84" t="s">
        <v>136</v>
      </c>
    </row>
    <row r="85" spans="1:8" x14ac:dyDescent="0.3">
      <c r="A85" t="s">
        <v>78</v>
      </c>
      <c r="B85">
        <f>IFERROR(_xlfn.XLOOKUP(A85,'Appendix A'!A:A,'Appendix A'!I:I),"")</f>
        <v>105.44</v>
      </c>
      <c r="C85" t="s">
        <v>190</v>
      </c>
      <c r="D85" t="s">
        <v>193</v>
      </c>
      <c r="E85" t="e" cm="1">
        <f t="array" ref="E85">_xll.ReadKSpice(_xlfn.CONCAT("/",$B$1,"/",$B$2,"/",D85,"@V_Unit=",F85))</f>
        <v>#N/A</v>
      </c>
      <c r="F85" t="s">
        <v>14</v>
      </c>
      <c r="G85" t="e">
        <f>100*(E85-B85)/B85</f>
        <v>#N/A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f>IFERROR(_xlfn.XLOOKUP(A88,'Appendix A'!A:A,'Appendix A'!I:I),"")</f>
        <v>30.6</v>
      </c>
      <c r="C88" t="s">
        <v>194</v>
      </c>
      <c r="D88" t="s">
        <v>196</v>
      </c>
      <c r="E88" t="e" cm="1">
        <f t="array" ref="E88">_xll.ReadKSpice(_xlfn.CONCAT("/",$B$1,"/",$B$2,"/",D88,"@V_Unit=",F88))</f>
        <v>#N/A</v>
      </c>
      <c r="F88" t="s">
        <v>14</v>
      </c>
      <c r="G88" t="e">
        <f>100*(E88-B88)/B88</f>
        <v>#N/A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f>IFERROR(_xlfn.XLOOKUP(A91,'Appendix A'!A:A,'Appendix A'!I:I),"")</f>
        <v>22.26</v>
      </c>
      <c r="C91" t="s">
        <v>195</v>
      </c>
      <c r="D91" t="s">
        <v>197</v>
      </c>
      <c r="E91" t="e" cm="1">
        <f t="array" ref="E91">_xll.ReadKSpice(_xlfn.CONCAT("/",$B$1,"/",$B$2,"/",D91,"@V_Unit=",F91))</f>
        <v>#N/A</v>
      </c>
      <c r="F91" t="s">
        <v>14</v>
      </c>
      <c r="G91" t="e">
        <f>100*(E91-B91)/B91</f>
        <v>#N/A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f>IFERROR(_xlfn.XLOOKUP(A94,'Appendix A'!A:A,'Appendix A'!I:I),"")</f>
        <v>228.23</v>
      </c>
      <c r="E94" t="e" cm="1">
        <f t="array" ref="E94">_xll.ReadKSpice(_xlfn.CONCAT("/",$B$1,"/",$B$2,"/",D94,"@V_Unit=",F94))</f>
        <v>#N/A</v>
      </c>
      <c r="F94" t="s">
        <v>33</v>
      </c>
      <c r="G94" t="e">
        <f>100*(E94-B94)/B94</f>
        <v>#N/A</v>
      </c>
    </row>
    <row r="95" spans="1:8" s="3" customFormat="1" x14ac:dyDescent="0.3">
      <c r="A95" t="s">
        <v>71</v>
      </c>
      <c r="B95">
        <f>IFERROR(_xlfn.XLOOKUP(A95,'Appendix A'!A:A,'Appendix A'!I:I),"")</f>
        <v>1.071</v>
      </c>
      <c r="C95"/>
      <c r="D95"/>
      <c r="E95" t="e" cm="1">
        <f t="array" ref="E95">_xll.ReadKSpice(_xlfn.CONCAT("/",$B$1,"/",$B$2,"/",D95,"@V_Unit=",F95))</f>
        <v>#N/A</v>
      </c>
      <c r="F95" t="s">
        <v>95</v>
      </c>
      <c r="G95" t="e">
        <f>100*(E95-B95)/B95</f>
        <v>#N/A</v>
      </c>
    </row>
    <row r="96" spans="1:8" x14ac:dyDescent="0.3">
      <c r="A96" t="s">
        <v>72</v>
      </c>
      <c r="B96">
        <f>IFERROR(_xlfn.XLOOKUP(A96,'Appendix A'!A:A,'Appendix A'!I:I),"")</f>
        <v>1.0960000000000001</v>
      </c>
      <c r="E96" t="e" cm="1">
        <f t="array" ref="E96">_xll.ReadKSpice(_xlfn.CONCAT("/",$B$1,"/",$B$2,"/",D96,"@V_Unit=",F96))</f>
        <v>#N/A</v>
      </c>
      <c r="F96" t="s">
        <v>95</v>
      </c>
      <c r="G96" t="e">
        <f>100*(E96-B96)/B96</f>
        <v>#N/A</v>
      </c>
    </row>
    <row r="97" spans="1:8" x14ac:dyDescent="0.3">
      <c r="A97" t="s">
        <v>77</v>
      </c>
      <c r="B97">
        <f>IFERROR(_xlfn.XLOOKUP(A97,'Appendix A'!A:A,'Appendix A'!I:I),"")</f>
        <v>36.46</v>
      </c>
      <c r="E97" t="e" cm="1">
        <f t="array" ref="E97">_xll.ReadKSpice(_xlfn.CONCAT("/",$B$1,"/",$B$2,"/",D97,"@V_Unit=",F97))</f>
        <v>#N/A</v>
      </c>
      <c r="F97" t="s">
        <v>14</v>
      </c>
      <c r="G97" t="e">
        <f>100*(E97-B97)/B97</f>
        <v>#N/A</v>
      </c>
    </row>
    <row r="98" spans="1:8" x14ac:dyDescent="0.3">
      <c r="A98" t="s">
        <v>91</v>
      </c>
      <c r="B98">
        <f>IFERROR(_xlfn.XLOOKUP(A98,'Appendix A'!A:A,'Appendix A'!I:I),"")</f>
        <v>37.090000000000003</v>
      </c>
      <c r="E98" t="e" cm="1">
        <f t="array" ref="E98">_xll.ReadKSpice(_xlfn.CONCAT("/",$B$1,"/",$B$2,"/",D98,"@V_Unit=",F98))</f>
        <v>#N/A</v>
      </c>
      <c r="F98" t="s">
        <v>14</v>
      </c>
      <c r="G98" t="e">
        <f>100*(E98-B98)/B98</f>
        <v>#N/A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0.44</v>
      </c>
      <c r="C100" t="s">
        <v>244</v>
      </c>
      <c r="D100" t="s">
        <v>243</v>
      </c>
      <c r="E100" t="e" cm="1">
        <f t="array" ref="E100">_xll.ReadKSpice(_xlfn.CONCAT("/",$B$1,"/",$B$2,"/",D100,"@V_Unit=",F100))</f>
        <v>#N/A</v>
      </c>
      <c r="F100" t="s">
        <v>33</v>
      </c>
      <c r="G100" t="e">
        <f>100*(E100-B100)/B100</f>
        <v>#N/A</v>
      </c>
    </row>
    <row r="101" spans="1:8" x14ac:dyDescent="0.3">
      <c r="A101" t="s">
        <v>265</v>
      </c>
      <c r="B101">
        <v>0.31</v>
      </c>
      <c r="C101" t="s">
        <v>250</v>
      </c>
      <c r="D101" t="s">
        <v>251</v>
      </c>
      <c r="E101" t="e" cm="1">
        <f t="array" ref="E101">_xll.ReadKSpice(_xlfn.CONCAT("/",$B$1,"/",$B$2,"/",D101,"@V_Unit=",F101))</f>
        <v>#N/A</v>
      </c>
      <c r="F101" t="s">
        <v>43</v>
      </c>
      <c r="G101" t="e">
        <f t="shared" ref="G101:G104" si="5">100*(E101-B101)/B101</f>
        <v>#N/A</v>
      </c>
      <c r="H101" t="s">
        <v>256</v>
      </c>
    </row>
    <row r="102" spans="1:8" x14ac:dyDescent="0.3">
      <c r="A102" t="s">
        <v>261</v>
      </c>
      <c r="B102">
        <f>((B34-B37)/B34)*100</f>
        <v>69.80306345733041</v>
      </c>
      <c r="C102" t="s">
        <v>247</v>
      </c>
      <c r="D102" t="s">
        <v>252</v>
      </c>
      <c r="E102" t="e" cm="1">
        <f t="array" ref="E102">_xll.ReadKSpice(_xlfn.CONCAT("/",$B$1,"/",$B$2,"/",D102,"@V_Unit=",F102))</f>
        <v>#N/A</v>
      </c>
      <c r="F102" t="s">
        <v>229</v>
      </c>
      <c r="G102" t="e">
        <f t="shared" si="5"/>
        <v>#N/A</v>
      </c>
      <c r="H102" t="s">
        <v>257</v>
      </c>
    </row>
    <row r="103" spans="1:8" x14ac:dyDescent="0.3">
      <c r="A103" t="s">
        <v>261</v>
      </c>
      <c r="B103">
        <f>(3.6*B17)/B79</f>
        <v>4.523076923076923</v>
      </c>
      <c r="C103" t="s">
        <v>248</v>
      </c>
      <c r="D103" t="s">
        <v>253</v>
      </c>
      <c r="E103" t="e" cm="1">
        <f t="array" ref="E103">_xll.ReadKSpice(_xlfn.CONCAT("/",$B$1,"/",$B$2,"/",D103,"@V_Unit=",F103))</f>
        <v>#N/A</v>
      </c>
      <c r="F103" t="s">
        <v>255</v>
      </c>
      <c r="G103" t="e">
        <f t="shared" si="5"/>
        <v>#N/A</v>
      </c>
      <c r="H103" t="s">
        <v>258</v>
      </c>
    </row>
    <row r="104" spans="1:8" x14ac:dyDescent="0.3">
      <c r="C104" t="s">
        <v>249</v>
      </c>
      <c r="D104" t="s">
        <v>254</v>
      </c>
      <c r="E104" t="e" cm="1">
        <f t="array" ref="E104">_xll.ReadKSpice(_xlfn.CONCAT("/",$B$1,"/",$B$2,"/",D104,"@V_Unit=",F104))</f>
        <v>#N/A</v>
      </c>
      <c r="F104" t="s">
        <v>229</v>
      </c>
      <c r="G104" t="e">
        <f t="shared" si="5"/>
        <v>#N/A</v>
      </c>
      <c r="H104" t="s">
        <v>259</v>
      </c>
    </row>
    <row r="120" spans="1:4" x14ac:dyDescent="0.3">
      <c r="A120" s="3"/>
    </row>
    <row r="121" spans="1:4" x14ac:dyDescent="0.3">
      <c r="C121" s="10"/>
      <c r="D121" s="10"/>
    </row>
    <row r="125" spans="1:4" x14ac:dyDescent="0.3">
      <c r="A125" s="3"/>
    </row>
    <row r="131" spans="1:4" x14ac:dyDescent="0.3">
      <c r="A131" s="1"/>
      <c r="C131" s="1"/>
      <c r="D131" s="1"/>
    </row>
    <row r="132" spans="1:4" x14ac:dyDescent="0.3">
      <c r="A132" s="1"/>
    </row>
    <row r="133" spans="1:4" x14ac:dyDescent="0.3">
      <c r="A133" s="1"/>
    </row>
    <row r="134" spans="1:4" x14ac:dyDescent="0.3">
      <c r="A134" s="1"/>
    </row>
    <row r="135" spans="1:4" x14ac:dyDescent="0.3">
      <c r="A135" s="1"/>
    </row>
    <row r="136" spans="1:4" x14ac:dyDescent="0.3">
      <c r="A136" s="1"/>
    </row>
    <row r="137" spans="1:4" x14ac:dyDescent="0.3">
      <c r="A137" s="1"/>
    </row>
    <row r="138" spans="1:4" x14ac:dyDescent="0.3">
      <c r="A138" s="1"/>
    </row>
  </sheetData>
  <conditionalFormatting sqref="G13:G104">
    <cfRule type="expression" dxfId="11" priority="4">
      <formula>ABS(G13)&gt;10</formula>
    </cfRule>
    <cfRule type="expression" dxfId="10" priority="5">
      <formula>AND(ABS(G13)&gt;=5,ABS(G13)&lt;10)</formula>
    </cfRule>
    <cfRule type="expression" dxfId="9" priority="6">
      <formula>ABS(G13)&lt;5</formula>
    </cfRule>
  </conditionalFormatting>
  <conditionalFormatting sqref="H101:H104">
    <cfRule type="expression" dxfId="8" priority="1">
      <formula>ABS(H101)&gt;10</formula>
    </cfRule>
    <cfRule type="expression" dxfId="7" priority="2">
      <formula>AND(ABS(H101)&gt;=5,ABS(H101)&lt;10)</formula>
    </cfRule>
    <cfRule type="expression" dxfId="6" priority="3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7EF1-CAC0-4DA9-9ACC-787914DBC6F5}">
  <dimension ref="A1:J144"/>
  <sheetViews>
    <sheetView zoomScale="70" zoomScaleNormal="70" workbookViewId="0">
      <selection activeCell="E18" sqref="E18"/>
    </sheetView>
  </sheetViews>
  <sheetFormatPr baseColWidth="10" defaultColWidth="8.88671875" defaultRowHeight="14.4" x14ac:dyDescent="0.3"/>
  <cols>
    <col min="1" max="1" width="22.88671875" customWidth="1"/>
    <col min="2" max="2" width="21.6640625" bestFit="1" customWidth="1"/>
    <col min="3" max="3" width="16.44140625" customWidth="1"/>
    <col min="4" max="4" width="46.33203125" customWidth="1"/>
    <col min="5" max="5" width="14.44140625" customWidth="1"/>
    <col min="7" max="7" width="10.88671875" customWidth="1"/>
    <col min="8" max="8" width="62.33203125" customWidth="1"/>
  </cols>
  <sheetData>
    <row r="1" spans="1:10" x14ac:dyDescent="0.3">
      <c r="A1" t="s">
        <v>0</v>
      </c>
      <c r="B1" s="1" t="s">
        <v>1</v>
      </c>
      <c r="J1" s="2"/>
    </row>
    <row r="2" spans="1:10" x14ac:dyDescent="0.3">
      <c r="A2" t="s">
        <v>2</v>
      </c>
      <c r="B2" s="1" t="s">
        <v>3</v>
      </c>
      <c r="J2" s="2"/>
    </row>
    <row r="3" spans="1:10" x14ac:dyDescent="0.3">
      <c r="B3" s="1"/>
      <c r="J3" s="2"/>
    </row>
    <row r="4" spans="1:10" x14ac:dyDescent="0.3">
      <c r="A4" t="s">
        <v>216</v>
      </c>
      <c r="B4" s="1">
        <v>7</v>
      </c>
      <c r="J4" s="2"/>
    </row>
    <row r="5" spans="1:10" x14ac:dyDescent="0.3">
      <c r="B5" s="1"/>
      <c r="J5" s="2"/>
    </row>
    <row r="6" spans="1:10" x14ac:dyDescent="0.3">
      <c r="A6" t="s">
        <v>198</v>
      </c>
      <c r="J6" s="2"/>
    </row>
    <row r="7" spans="1:10" x14ac:dyDescent="0.3">
      <c r="A7" t="s">
        <v>199</v>
      </c>
      <c r="B7">
        <v>0</v>
      </c>
      <c r="C7">
        <v>5</v>
      </c>
    </row>
    <row r="8" spans="1:10" x14ac:dyDescent="0.3">
      <c r="A8" t="s">
        <v>200</v>
      </c>
      <c r="B8">
        <v>5</v>
      </c>
      <c r="C8">
        <v>10</v>
      </c>
    </row>
    <row r="9" spans="1:10" x14ac:dyDescent="0.3">
      <c r="A9" t="s">
        <v>201</v>
      </c>
      <c r="B9">
        <v>10</v>
      </c>
      <c r="C9">
        <v>100</v>
      </c>
      <c r="F9" t="s">
        <v>266</v>
      </c>
      <c r="G9" cm="1">
        <f t="array" ref="G9">AVERAGE(ABS(G100:G103))</f>
        <v>18.876674171311766</v>
      </c>
    </row>
    <row r="10" spans="1:10" x14ac:dyDescent="0.3">
      <c r="F10" t="s">
        <v>262</v>
      </c>
      <c r="G10" cm="1">
        <f t="array" ref="G10">AVERAGE(ABS(G26:G31),ABS(G34),ABS(G37:G49),ABS(G52),ABS(G55),ABS(G57:G58),ABS(G61:G68),ABS(G71:G76),ABS(G79),ABS(G80),ABS(G83),ABS(G85),ABS(G88),ABS(G91),ABS(G100:G102))</f>
        <v>8.5353451702905758</v>
      </c>
    </row>
    <row r="11" spans="1:10" x14ac:dyDescent="0.3">
      <c r="A11" s="4" t="s">
        <v>4</v>
      </c>
      <c r="B11" s="4" t="s">
        <v>5</v>
      </c>
      <c r="C11" s="4" t="s">
        <v>6</v>
      </c>
      <c r="D11" s="4" t="s">
        <v>106</v>
      </c>
      <c r="E11" s="5" t="s">
        <v>7</v>
      </c>
      <c r="F11" s="4" t="s">
        <v>8</v>
      </c>
      <c r="G11" s="4" t="s">
        <v>9</v>
      </c>
      <c r="H11" s="4" t="s">
        <v>34</v>
      </c>
    </row>
    <row r="12" spans="1:10" x14ac:dyDescent="0.3">
      <c r="A12" s="6" t="s">
        <v>29</v>
      </c>
      <c r="B12" s="7"/>
      <c r="C12" s="7"/>
      <c r="D12" s="7"/>
      <c r="E12" s="7"/>
      <c r="F12" s="7"/>
      <c r="G12" s="7"/>
      <c r="H12" s="7"/>
    </row>
    <row r="13" spans="1:10" x14ac:dyDescent="0.3">
      <c r="A13" t="s">
        <v>11</v>
      </c>
      <c r="B13">
        <v>118.87</v>
      </c>
      <c r="C13" t="s">
        <v>30</v>
      </c>
      <c r="D13" t="s">
        <v>111</v>
      </c>
      <c r="E13">
        <v>118.87000000000002</v>
      </c>
      <c r="F13" t="s">
        <v>31</v>
      </c>
      <c r="G13">
        <v>1.1954954753261548E-14</v>
      </c>
      <c r="H13" t="s">
        <v>35</v>
      </c>
    </row>
    <row r="14" spans="1:10" x14ac:dyDescent="0.3">
      <c r="A14" t="s">
        <v>58</v>
      </c>
      <c r="B14">
        <v>238.82</v>
      </c>
      <c r="C14" t="s">
        <v>32</v>
      </c>
      <c r="D14" t="s">
        <v>112</v>
      </c>
      <c r="E14">
        <v>238.80000000000004</v>
      </c>
      <c r="F14" t="s">
        <v>33</v>
      </c>
      <c r="G14">
        <v>-8.3745079976356197E-3</v>
      </c>
      <c r="H14" t="s">
        <v>36</v>
      </c>
    </row>
    <row r="15" spans="1:10" x14ac:dyDescent="0.3">
      <c r="A15" t="s">
        <v>25</v>
      </c>
      <c r="B15">
        <v>50.02</v>
      </c>
      <c r="C15" t="s">
        <v>107</v>
      </c>
      <c r="D15" t="s">
        <v>113</v>
      </c>
      <c r="E15">
        <v>50.019999999999982</v>
      </c>
      <c r="F15" t="s">
        <v>14</v>
      </c>
      <c r="G15">
        <v>-4.2615517938430635E-14</v>
      </c>
      <c r="H15" t="s">
        <v>37</v>
      </c>
    </row>
    <row r="16" spans="1:10" x14ac:dyDescent="0.3">
      <c r="A16" t="s">
        <v>25</v>
      </c>
      <c r="B16">
        <v>50.02</v>
      </c>
      <c r="C16" t="s">
        <v>38</v>
      </c>
      <c r="D16" t="s">
        <v>220</v>
      </c>
      <c r="E16">
        <v>50.019999999999982</v>
      </c>
      <c r="F16" t="s">
        <v>14</v>
      </c>
      <c r="G16">
        <v>-4.2615517938430635E-14</v>
      </c>
      <c r="H16" t="s">
        <v>108</v>
      </c>
    </row>
    <row r="17" spans="1:8" x14ac:dyDescent="0.3">
      <c r="A17" t="s">
        <v>63</v>
      </c>
      <c r="B17">
        <v>8.33</v>
      </c>
      <c r="C17" t="s">
        <v>40</v>
      </c>
      <c r="D17" t="s">
        <v>219</v>
      </c>
      <c r="E17">
        <v>8.3000000000000007</v>
      </c>
      <c r="F17" t="s">
        <v>41</v>
      </c>
      <c r="G17">
        <v>-0.36014405762304152</v>
      </c>
      <c r="H17" t="s">
        <v>39</v>
      </c>
    </row>
    <row r="18" spans="1:8" x14ac:dyDescent="0.3">
      <c r="A18" t="s">
        <v>16</v>
      </c>
      <c r="B18">
        <v>39.58</v>
      </c>
      <c r="C18" t="s">
        <v>231</v>
      </c>
      <c r="D18" t="s">
        <v>232</v>
      </c>
      <c r="E18">
        <v>39.579999999999984</v>
      </c>
      <c r="F18" t="s">
        <v>14</v>
      </c>
      <c r="G18">
        <v>-3.5904130154628613E-14</v>
      </c>
      <c r="H18" t="s">
        <v>42</v>
      </c>
    </row>
    <row r="19" spans="1:8" x14ac:dyDescent="0.3">
      <c r="B19">
        <v>0.31</v>
      </c>
      <c r="C19" t="s">
        <v>105</v>
      </c>
      <c r="D19" t="s">
        <v>114</v>
      </c>
      <c r="E19">
        <v>0.3099864708958418</v>
      </c>
      <c r="F19" t="s">
        <v>43</v>
      </c>
      <c r="G19">
        <v>-4.3642271478045785E-3</v>
      </c>
      <c r="H19" t="s">
        <v>44</v>
      </c>
    </row>
    <row r="20" spans="1:8" x14ac:dyDescent="0.3">
      <c r="A20" t="s">
        <v>47</v>
      </c>
      <c r="B20">
        <v>1031.27</v>
      </c>
      <c r="C20" t="s">
        <v>46</v>
      </c>
      <c r="D20" t="s">
        <v>115</v>
      </c>
      <c r="E20">
        <v>1031.27</v>
      </c>
      <c r="F20" t="s">
        <v>218</v>
      </c>
      <c r="G20">
        <v>0</v>
      </c>
      <c r="H20" t="s">
        <v>45</v>
      </c>
    </row>
    <row r="21" spans="1:8" x14ac:dyDescent="0.3">
      <c r="A21" t="s">
        <v>68</v>
      </c>
      <c r="B21">
        <v>0.7</v>
      </c>
      <c r="C21" t="s">
        <v>49</v>
      </c>
      <c r="D21" t="s">
        <v>116</v>
      </c>
      <c r="E21">
        <v>0.69999999999999984</v>
      </c>
      <c r="F21" t="s">
        <v>51</v>
      </c>
      <c r="G21">
        <v>-1.5860328923216522E-14</v>
      </c>
      <c r="H21" t="s">
        <v>48</v>
      </c>
    </row>
    <row r="22" spans="1:8" x14ac:dyDescent="0.3">
      <c r="A22" t="s">
        <v>89</v>
      </c>
      <c r="B22">
        <v>30.6</v>
      </c>
      <c r="C22" t="s">
        <v>53</v>
      </c>
      <c r="D22" t="s">
        <v>117</v>
      </c>
      <c r="E22">
        <v>30.600000000000023</v>
      </c>
      <c r="F22" t="s">
        <v>14</v>
      </c>
      <c r="G22">
        <v>6.9661052525500011E-14</v>
      </c>
      <c r="H22" t="s">
        <v>52</v>
      </c>
    </row>
    <row r="23" spans="1:8" x14ac:dyDescent="0.3">
      <c r="A23" t="s">
        <v>90</v>
      </c>
      <c r="B23">
        <v>22.26</v>
      </c>
      <c r="C23" t="s">
        <v>55</v>
      </c>
      <c r="D23" t="s">
        <v>118</v>
      </c>
      <c r="E23">
        <v>22.259999999999991</v>
      </c>
      <c r="F23" t="s">
        <v>14</v>
      </c>
      <c r="G23">
        <v>-4.7880238258766857E-14</v>
      </c>
      <c r="H23" t="s">
        <v>54</v>
      </c>
    </row>
    <row r="24" spans="1:8" x14ac:dyDescent="0.3">
      <c r="G24" t="s">
        <v>202</v>
      </c>
    </row>
    <row r="25" spans="1:8" x14ac:dyDescent="0.3">
      <c r="A25" s="6" t="s">
        <v>10</v>
      </c>
      <c r="C25" s="7"/>
      <c r="D25" s="7"/>
      <c r="E25" s="7"/>
      <c r="F25" s="7"/>
      <c r="G25" s="7" t="s">
        <v>202</v>
      </c>
      <c r="H25" s="7"/>
    </row>
    <row r="26" spans="1:8" x14ac:dyDescent="0.3">
      <c r="A26" t="s">
        <v>11</v>
      </c>
      <c r="B26">
        <v>118.87</v>
      </c>
      <c r="C26" t="s">
        <v>12</v>
      </c>
      <c r="D26" t="s">
        <v>119</v>
      </c>
      <c r="E26">
        <v>118.8699999990155</v>
      </c>
      <c r="F26" t="s">
        <v>31</v>
      </c>
      <c r="G26">
        <v>-8.2821535539645355E-10</v>
      </c>
    </row>
    <row r="27" spans="1:8" x14ac:dyDescent="0.3">
      <c r="A27" t="s">
        <v>67</v>
      </c>
      <c r="B27">
        <v>1045.31</v>
      </c>
      <c r="C27" t="s">
        <v>235</v>
      </c>
      <c r="D27" t="s">
        <v>236</v>
      </c>
      <c r="E27">
        <v>1036.6708291032162</v>
      </c>
      <c r="F27" t="s">
        <v>218</v>
      </c>
      <c r="G27">
        <v>-0.82646974550934682</v>
      </c>
    </row>
    <row r="28" spans="1:8" x14ac:dyDescent="0.3">
      <c r="A28" t="s">
        <v>13</v>
      </c>
      <c r="B28">
        <v>41.86</v>
      </c>
      <c r="C28" t="s">
        <v>233</v>
      </c>
      <c r="D28" t="s">
        <v>234</v>
      </c>
      <c r="E28">
        <v>39.580000000024768</v>
      </c>
      <c r="F28" t="s">
        <v>14</v>
      </c>
      <c r="G28">
        <v>-5.4467271857984514</v>
      </c>
    </row>
    <row r="29" spans="1:8" x14ac:dyDescent="0.3">
      <c r="A29" t="s">
        <v>58</v>
      </c>
      <c r="B29">
        <v>238.82</v>
      </c>
      <c r="C29" t="s">
        <v>120</v>
      </c>
      <c r="D29" t="s">
        <v>121</v>
      </c>
      <c r="E29">
        <v>238.80000000472435</v>
      </c>
      <c r="F29" t="s">
        <v>33</v>
      </c>
      <c r="G29">
        <v>-8.3745060194456086E-3</v>
      </c>
    </row>
    <row r="30" spans="1:8" x14ac:dyDescent="0.3">
      <c r="A30" t="s">
        <v>25</v>
      </c>
      <c r="B30">
        <v>50.02</v>
      </c>
      <c r="C30" t="s">
        <v>109</v>
      </c>
      <c r="D30" t="s">
        <v>110</v>
      </c>
      <c r="E30">
        <v>50.024803609462822</v>
      </c>
      <c r="F30" t="s">
        <v>14</v>
      </c>
      <c r="G30">
        <v>9.6033775746076962E-3</v>
      </c>
      <c r="H30" t="s">
        <v>37</v>
      </c>
    </row>
    <row r="31" spans="1:8" x14ac:dyDescent="0.3">
      <c r="A31" t="s">
        <v>25</v>
      </c>
      <c r="B31">
        <v>50.02</v>
      </c>
      <c r="C31" t="s">
        <v>221</v>
      </c>
      <c r="D31" t="s">
        <v>222</v>
      </c>
      <c r="E31">
        <v>37.218543475037052</v>
      </c>
      <c r="F31" t="s">
        <v>14</v>
      </c>
      <c r="G31">
        <v>-25.5926759795341</v>
      </c>
      <c r="H31" t="s">
        <v>108</v>
      </c>
    </row>
    <row r="32" spans="1:8" x14ac:dyDescent="0.3">
      <c r="G32" t="s">
        <v>202</v>
      </c>
    </row>
    <row r="33" spans="1:8" x14ac:dyDescent="0.3">
      <c r="A33" s="6" t="s">
        <v>15</v>
      </c>
      <c r="C33" s="7"/>
      <c r="D33" s="7"/>
      <c r="E33" s="7"/>
      <c r="F33" s="7"/>
      <c r="G33" s="7" t="s">
        <v>202</v>
      </c>
      <c r="H33" s="7"/>
    </row>
    <row r="34" spans="1:8" x14ac:dyDescent="0.3">
      <c r="A34" t="s">
        <v>56</v>
      </c>
      <c r="B34">
        <v>4.57</v>
      </c>
      <c r="C34" t="s">
        <v>122</v>
      </c>
      <c r="D34" t="s">
        <v>123</v>
      </c>
      <c r="E34">
        <v>4.823783128921745</v>
      </c>
      <c r="F34" t="s">
        <v>229</v>
      </c>
      <c r="G34">
        <v>5.5532413330797521</v>
      </c>
      <c r="H34" t="s">
        <v>96</v>
      </c>
    </row>
    <row r="35" spans="1:8" x14ac:dyDescent="0.3">
      <c r="A35" t="s">
        <v>124</v>
      </c>
      <c r="B35" t="s">
        <v>240</v>
      </c>
      <c r="C35" t="s">
        <v>128</v>
      </c>
      <c r="D35" t="s">
        <v>129</v>
      </c>
      <c r="E35">
        <v>0.23321781046070919</v>
      </c>
      <c r="F35" t="s">
        <v>229</v>
      </c>
      <c r="G35" t="s">
        <v>202</v>
      </c>
      <c r="H35" t="s">
        <v>126</v>
      </c>
    </row>
    <row r="36" spans="1:8" x14ac:dyDescent="0.3">
      <c r="A36" t="s">
        <v>125</v>
      </c>
      <c r="B36" t="s">
        <v>240</v>
      </c>
      <c r="C36" t="s">
        <v>128</v>
      </c>
      <c r="D36" t="s">
        <v>130</v>
      </c>
      <c r="E36">
        <v>9.7249467456855879E-2</v>
      </c>
      <c r="F36" t="s">
        <v>229</v>
      </c>
      <c r="G36" t="s">
        <v>202</v>
      </c>
      <c r="H36" t="s">
        <v>127</v>
      </c>
    </row>
    <row r="37" spans="1:8" x14ac:dyDescent="0.3">
      <c r="A37" t="s">
        <v>57</v>
      </c>
      <c r="B37">
        <v>1.38</v>
      </c>
      <c r="C37" t="s">
        <v>128</v>
      </c>
      <c r="E37">
        <v>0.33046727791756508</v>
      </c>
      <c r="F37" t="s">
        <v>229</v>
      </c>
      <c r="G37">
        <v>-76.053095803074996</v>
      </c>
      <c r="H37" t="s">
        <v>230</v>
      </c>
    </row>
    <row r="38" spans="1:8" x14ac:dyDescent="0.3">
      <c r="A38" t="s">
        <v>47</v>
      </c>
      <c r="B38">
        <v>1031.27</v>
      </c>
      <c r="C38" t="s">
        <v>131</v>
      </c>
      <c r="D38" t="s">
        <v>133</v>
      </c>
      <c r="E38">
        <v>1031.270000037619</v>
      </c>
      <c r="F38" t="s">
        <v>218</v>
      </c>
      <c r="G38">
        <v>3.6478298216842094E-9</v>
      </c>
    </row>
    <row r="39" spans="1:8" x14ac:dyDescent="0.3">
      <c r="A39" t="s">
        <v>66</v>
      </c>
      <c r="B39">
        <v>1041.48</v>
      </c>
      <c r="C39" t="s">
        <v>132</v>
      </c>
      <c r="D39" t="s">
        <v>134</v>
      </c>
      <c r="E39">
        <v>1036.367752101314</v>
      </c>
      <c r="F39" t="s">
        <v>218</v>
      </c>
      <c r="G39">
        <v>-0.49086376105984408</v>
      </c>
    </row>
    <row r="40" spans="1:8" x14ac:dyDescent="0.3">
      <c r="A40" t="s">
        <v>16</v>
      </c>
      <c r="B40">
        <v>39.58</v>
      </c>
      <c r="C40" t="s">
        <v>233</v>
      </c>
      <c r="D40" t="s">
        <v>234</v>
      </c>
      <c r="E40">
        <v>39.580000000024768</v>
      </c>
      <c r="F40" t="s">
        <v>14</v>
      </c>
      <c r="G40">
        <v>6.2580898859517668E-11</v>
      </c>
      <c r="H40" t="s">
        <v>237</v>
      </c>
    </row>
    <row r="41" spans="1:8" x14ac:dyDescent="0.3">
      <c r="A41" t="s">
        <v>73</v>
      </c>
      <c r="B41">
        <v>39.159999999999997</v>
      </c>
      <c r="C41" t="s">
        <v>137</v>
      </c>
      <c r="D41" t="s">
        <v>146</v>
      </c>
      <c r="E41">
        <v>35.904201654376095</v>
      </c>
      <c r="F41" t="s">
        <v>14</v>
      </c>
      <c r="G41">
        <v>-8.3140917916851418</v>
      </c>
    </row>
    <row r="42" spans="1:8" x14ac:dyDescent="0.3">
      <c r="A42" t="s">
        <v>17</v>
      </c>
      <c r="B42">
        <v>40.79</v>
      </c>
      <c r="C42" t="s">
        <v>18</v>
      </c>
      <c r="D42" t="s">
        <v>147</v>
      </c>
      <c r="E42">
        <v>35.889482762990951</v>
      </c>
      <c r="F42" t="s">
        <v>14</v>
      </c>
      <c r="G42">
        <v>-12.014016271167069</v>
      </c>
    </row>
    <row r="43" spans="1:8" x14ac:dyDescent="0.3">
      <c r="A43" t="s">
        <v>19</v>
      </c>
      <c r="B43">
        <v>43.82</v>
      </c>
      <c r="C43" t="s">
        <v>138</v>
      </c>
      <c r="D43" t="s">
        <v>148</v>
      </c>
      <c r="E43">
        <v>43.406355374555176</v>
      </c>
      <c r="F43" t="s">
        <v>14</v>
      </c>
      <c r="G43">
        <v>-0.94396308864633616</v>
      </c>
    </row>
    <row r="44" spans="1:8" x14ac:dyDescent="0.3">
      <c r="A44" t="s">
        <v>20</v>
      </c>
      <c r="B44">
        <v>45.76</v>
      </c>
      <c r="C44" t="s">
        <v>139</v>
      </c>
      <c r="D44" t="s">
        <v>149</v>
      </c>
      <c r="E44">
        <v>48.993843483749117</v>
      </c>
      <c r="F44" t="s">
        <v>14</v>
      </c>
      <c r="G44">
        <v>7.066965655046153</v>
      </c>
    </row>
    <row r="45" spans="1:8" x14ac:dyDescent="0.3">
      <c r="A45" t="s">
        <v>21</v>
      </c>
      <c r="B45">
        <v>47.36</v>
      </c>
      <c r="C45" t="s">
        <v>140</v>
      </c>
      <c r="D45" t="s">
        <v>150</v>
      </c>
      <c r="E45">
        <v>54.214049098595808</v>
      </c>
      <c r="F45" t="s">
        <v>14</v>
      </c>
      <c r="G45">
        <v>14.472232049399933</v>
      </c>
    </row>
    <row r="46" spans="1:8" x14ac:dyDescent="0.3">
      <c r="A46" t="s">
        <v>22</v>
      </c>
      <c r="B46">
        <v>52.69</v>
      </c>
      <c r="C46" t="s">
        <v>141</v>
      </c>
      <c r="D46" t="s">
        <v>151</v>
      </c>
      <c r="E46">
        <v>58.142799771664329</v>
      </c>
      <c r="F46" t="s">
        <v>14</v>
      </c>
      <c r="G46">
        <v>10.348832362240143</v>
      </c>
    </row>
    <row r="47" spans="1:8" x14ac:dyDescent="0.3">
      <c r="A47" t="s">
        <v>23</v>
      </c>
      <c r="B47">
        <v>55.6</v>
      </c>
      <c r="C47" t="s">
        <v>142</v>
      </c>
      <c r="D47" t="s">
        <v>152</v>
      </c>
      <c r="E47">
        <v>59.211532871890199</v>
      </c>
      <c r="F47" t="s">
        <v>14</v>
      </c>
      <c r="G47">
        <v>6.4955627192269745</v>
      </c>
    </row>
    <row r="48" spans="1:8" x14ac:dyDescent="0.3">
      <c r="A48" t="s">
        <v>24</v>
      </c>
      <c r="B48">
        <v>54.88</v>
      </c>
      <c r="C48" t="s">
        <v>143</v>
      </c>
      <c r="D48" t="s">
        <v>153</v>
      </c>
      <c r="E48">
        <v>59.200287970896568</v>
      </c>
      <c r="F48" t="s">
        <v>14</v>
      </c>
      <c r="G48">
        <v>7.8722448449281437</v>
      </c>
    </row>
    <row r="49" spans="1:8" x14ac:dyDescent="0.3">
      <c r="A49" t="s">
        <v>83</v>
      </c>
      <c r="B49">
        <v>47.26</v>
      </c>
      <c r="C49" t="s">
        <v>144</v>
      </c>
      <c r="D49" t="s">
        <v>154</v>
      </c>
      <c r="E49">
        <v>50.5936687822728</v>
      </c>
      <c r="F49" t="s">
        <v>14</v>
      </c>
      <c r="G49">
        <v>7.0538907792484187</v>
      </c>
    </row>
    <row r="50" spans="1:8" x14ac:dyDescent="0.3">
      <c r="A50" t="s">
        <v>70</v>
      </c>
      <c r="B50">
        <v>6.78</v>
      </c>
      <c r="F50" t="s">
        <v>217</v>
      </c>
      <c r="G50" t="s">
        <v>202</v>
      </c>
    </row>
    <row r="51" spans="1:8" x14ac:dyDescent="0.3">
      <c r="A51" t="s">
        <v>64</v>
      </c>
      <c r="B51">
        <v>11.95</v>
      </c>
      <c r="F51" t="s">
        <v>217</v>
      </c>
      <c r="G51" t="s">
        <v>202</v>
      </c>
      <c r="H51" t="s">
        <v>103</v>
      </c>
    </row>
    <row r="52" spans="1:8" x14ac:dyDescent="0.3">
      <c r="A52" t="s">
        <v>104</v>
      </c>
      <c r="B52">
        <v>18.73</v>
      </c>
      <c r="C52" t="s">
        <v>145</v>
      </c>
      <c r="D52" t="s">
        <v>155</v>
      </c>
      <c r="E52">
        <v>17.450567831754189</v>
      </c>
      <c r="F52" t="s">
        <v>217</v>
      </c>
      <c r="G52">
        <v>-6.8309245501645055</v>
      </c>
      <c r="H52" t="s">
        <v>238</v>
      </c>
    </row>
    <row r="53" spans="1:8" x14ac:dyDescent="0.3">
      <c r="G53" t="s">
        <v>202</v>
      </c>
    </row>
    <row r="54" spans="1:8" x14ac:dyDescent="0.3">
      <c r="A54" s="6" t="s">
        <v>97</v>
      </c>
      <c r="C54" s="7"/>
      <c r="D54" s="7"/>
      <c r="E54" s="7"/>
      <c r="F54" s="7"/>
      <c r="G54" s="7" t="s">
        <v>202</v>
      </c>
      <c r="H54" s="7"/>
    </row>
    <row r="55" spans="1:8" x14ac:dyDescent="0.3">
      <c r="A55" t="s">
        <v>59</v>
      </c>
      <c r="B55">
        <v>241.74</v>
      </c>
      <c r="C55" t="s">
        <v>156</v>
      </c>
      <c r="D55" t="s">
        <v>157</v>
      </c>
      <c r="E55">
        <v>234.69509529367147</v>
      </c>
      <c r="F55" t="s">
        <v>33</v>
      </c>
      <c r="G55">
        <v>-2.9142486581982863</v>
      </c>
    </row>
    <row r="56" spans="1:8" x14ac:dyDescent="0.3">
      <c r="A56" t="s">
        <v>74</v>
      </c>
      <c r="B56">
        <v>39.159999999999997</v>
      </c>
      <c r="F56" t="s">
        <v>14</v>
      </c>
      <c r="G56" t="s">
        <v>202</v>
      </c>
      <c r="H56" t="s">
        <v>98</v>
      </c>
    </row>
    <row r="57" spans="1:8" x14ac:dyDescent="0.3">
      <c r="A57" t="s">
        <v>75</v>
      </c>
      <c r="B57">
        <v>43.21</v>
      </c>
      <c r="C57" t="s">
        <v>158</v>
      </c>
      <c r="D57" t="s">
        <v>159</v>
      </c>
      <c r="E57">
        <v>56.32412944696847</v>
      </c>
      <c r="F57" t="s">
        <v>14</v>
      </c>
      <c r="G57">
        <v>30.34975572082497</v>
      </c>
    </row>
    <row r="58" spans="1:8" x14ac:dyDescent="0.3">
      <c r="A58" t="s">
        <v>76</v>
      </c>
      <c r="B58">
        <v>38.56</v>
      </c>
      <c r="C58" t="s">
        <v>161</v>
      </c>
      <c r="D58" t="s">
        <v>160</v>
      </c>
      <c r="E58">
        <v>35.951483620379634</v>
      </c>
      <c r="F58" t="s">
        <v>14</v>
      </c>
      <c r="G58">
        <v>-6.7648246359449393</v>
      </c>
    </row>
    <row r="59" spans="1:8" x14ac:dyDescent="0.3">
      <c r="G59" t="s">
        <v>202</v>
      </c>
    </row>
    <row r="60" spans="1:8" x14ac:dyDescent="0.3">
      <c r="A60" s="6" t="s">
        <v>26</v>
      </c>
      <c r="C60" s="7"/>
      <c r="D60" s="7"/>
      <c r="E60" s="7"/>
      <c r="F60" s="7"/>
      <c r="G60" s="7" t="s">
        <v>202</v>
      </c>
      <c r="H60" s="7"/>
    </row>
    <row r="61" spans="1:8" x14ac:dyDescent="0.3">
      <c r="A61" t="s">
        <v>84</v>
      </c>
      <c r="B61">
        <v>113.24</v>
      </c>
      <c r="C61" t="s">
        <v>162</v>
      </c>
      <c r="D61" t="s">
        <v>169</v>
      </c>
      <c r="E61">
        <v>101.74053752693146</v>
      </c>
      <c r="F61" t="s">
        <v>14</v>
      </c>
      <c r="G61">
        <v>-10.154947432946427</v>
      </c>
    </row>
    <row r="62" spans="1:8" x14ac:dyDescent="0.3">
      <c r="A62" t="s">
        <v>85</v>
      </c>
      <c r="B62">
        <v>101.82</v>
      </c>
      <c r="C62" t="s">
        <v>163</v>
      </c>
      <c r="D62" t="s">
        <v>170</v>
      </c>
      <c r="E62">
        <v>98.387182682445143</v>
      </c>
      <c r="F62" t="s">
        <v>14</v>
      </c>
      <c r="G62">
        <v>-3.3714568037270185</v>
      </c>
    </row>
    <row r="63" spans="1:8" x14ac:dyDescent="0.3">
      <c r="A63" t="s">
        <v>86</v>
      </c>
      <c r="B63">
        <v>101.69</v>
      </c>
      <c r="C63" t="s">
        <v>164</v>
      </c>
      <c r="D63" t="s">
        <v>171</v>
      </c>
      <c r="E63">
        <v>97.264337832407705</v>
      </c>
      <c r="F63" t="s">
        <v>14</v>
      </c>
      <c r="G63">
        <v>-4.3521114835207912</v>
      </c>
    </row>
    <row r="64" spans="1:8" x14ac:dyDescent="0.3">
      <c r="A64" t="s">
        <v>87</v>
      </c>
      <c r="B64">
        <v>101.99</v>
      </c>
      <c r="C64" t="s">
        <v>165</v>
      </c>
      <c r="D64" t="s">
        <v>172</v>
      </c>
      <c r="E64">
        <v>96.959069947906698</v>
      </c>
      <c r="F64" t="s">
        <v>14</v>
      </c>
      <c r="G64">
        <v>-4.932767969500242</v>
      </c>
    </row>
    <row r="65" spans="1:8" x14ac:dyDescent="0.3">
      <c r="A65" t="s">
        <v>88</v>
      </c>
      <c r="B65">
        <v>102.18</v>
      </c>
      <c r="C65" t="s">
        <v>166</v>
      </c>
      <c r="D65" t="s">
        <v>173</v>
      </c>
      <c r="E65">
        <v>96.886003620933366</v>
      </c>
      <c r="F65" t="s">
        <v>14</v>
      </c>
      <c r="G65">
        <v>-5.1810494999673526</v>
      </c>
    </row>
    <row r="66" spans="1:8" x14ac:dyDescent="0.3">
      <c r="A66" t="s">
        <v>79</v>
      </c>
      <c r="B66">
        <v>102.8</v>
      </c>
      <c r="C66" t="s">
        <v>227</v>
      </c>
      <c r="D66" t="s">
        <v>228</v>
      </c>
      <c r="E66">
        <v>96.868189018819578</v>
      </c>
      <c r="F66" t="s">
        <v>14</v>
      </c>
      <c r="G66">
        <v>-5.7702441451171396</v>
      </c>
    </row>
    <row r="67" spans="1:8" x14ac:dyDescent="0.3">
      <c r="A67" t="s">
        <v>81</v>
      </c>
      <c r="B67">
        <v>108.57</v>
      </c>
      <c r="C67" t="s">
        <v>167</v>
      </c>
      <c r="D67" t="s">
        <v>174</v>
      </c>
      <c r="E67">
        <v>103.18292723194492</v>
      </c>
      <c r="F67" t="s">
        <v>14</v>
      </c>
      <c r="G67">
        <v>-4.9618428369301624</v>
      </c>
    </row>
    <row r="68" spans="1:8" x14ac:dyDescent="0.3">
      <c r="A68" t="s">
        <v>82</v>
      </c>
      <c r="B68">
        <v>101.07</v>
      </c>
      <c r="C68" t="s">
        <v>168</v>
      </c>
      <c r="D68" t="s">
        <v>175</v>
      </c>
      <c r="E68">
        <v>96.871978589020614</v>
      </c>
      <c r="F68" t="s">
        <v>14</v>
      </c>
      <c r="G68">
        <v>-4.1535781250414363</v>
      </c>
    </row>
    <row r="69" spans="1:8" x14ac:dyDescent="0.3">
      <c r="G69" t="s">
        <v>202</v>
      </c>
    </row>
    <row r="70" spans="1:8" x14ac:dyDescent="0.3">
      <c r="A70" s="8" t="s">
        <v>27</v>
      </c>
      <c r="C70" s="7"/>
      <c r="D70" s="7"/>
      <c r="E70" s="7"/>
      <c r="F70" s="7"/>
      <c r="G70" s="7" t="s">
        <v>202</v>
      </c>
      <c r="H70" s="7"/>
    </row>
    <row r="71" spans="1:8" x14ac:dyDescent="0.3">
      <c r="A71" t="s">
        <v>60</v>
      </c>
      <c r="B71">
        <v>3.49</v>
      </c>
      <c r="C71" t="s">
        <v>176</v>
      </c>
      <c r="D71" t="s">
        <v>181</v>
      </c>
      <c r="E71">
        <v>4.048713779080825</v>
      </c>
      <c r="F71" t="s">
        <v>33</v>
      </c>
      <c r="G71">
        <v>16.00899080460816</v>
      </c>
    </row>
    <row r="72" spans="1:8" x14ac:dyDescent="0.3">
      <c r="A72" t="s">
        <v>63</v>
      </c>
      <c r="B72">
        <v>8.33</v>
      </c>
      <c r="C72" t="s">
        <v>177</v>
      </c>
      <c r="D72" t="s">
        <v>182</v>
      </c>
      <c r="E72">
        <v>8.3000009500982834</v>
      </c>
      <c r="F72" t="s">
        <v>41</v>
      </c>
      <c r="G72">
        <v>-0.36013265188135229</v>
      </c>
    </row>
    <row r="73" spans="1:8" x14ac:dyDescent="0.3">
      <c r="A73" t="s">
        <v>65</v>
      </c>
      <c r="B73">
        <v>54.39</v>
      </c>
      <c r="C73" t="s">
        <v>226</v>
      </c>
      <c r="D73" t="s">
        <v>225</v>
      </c>
      <c r="E73">
        <v>53.715567231404087</v>
      </c>
      <c r="F73" t="s">
        <v>217</v>
      </c>
      <c r="G73">
        <v>-1.2399940588268312</v>
      </c>
    </row>
    <row r="74" spans="1:8" x14ac:dyDescent="0.3">
      <c r="A74" t="s">
        <v>68</v>
      </c>
      <c r="B74">
        <v>0.7</v>
      </c>
      <c r="C74" t="s">
        <v>178</v>
      </c>
      <c r="D74" t="s">
        <v>183</v>
      </c>
      <c r="E74">
        <v>0.69996427989189525</v>
      </c>
      <c r="F74" t="s">
        <v>51</v>
      </c>
      <c r="G74">
        <v>-5.1028725863869594E-3</v>
      </c>
    </row>
    <row r="75" spans="1:8" x14ac:dyDescent="0.3">
      <c r="A75" t="s">
        <v>80</v>
      </c>
      <c r="B75">
        <v>19.07</v>
      </c>
      <c r="C75" t="s">
        <v>179</v>
      </c>
      <c r="D75" t="s">
        <v>184</v>
      </c>
      <c r="E75">
        <v>21.137864447527932</v>
      </c>
      <c r="F75" t="s">
        <v>14</v>
      </c>
      <c r="G75">
        <v>10.843547181583279</v>
      </c>
    </row>
    <row r="76" spans="1:8" x14ac:dyDescent="0.3">
      <c r="A76" t="s">
        <v>206</v>
      </c>
      <c r="B76">
        <v>113.85</v>
      </c>
      <c r="C76" t="s">
        <v>180</v>
      </c>
      <c r="D76" t="s">
        <v>185</v>
      </c>
      <c r="E76">
        <v>110.26033571093279</v>
      </c>
      <c r="F76" t="s">
        <v>14</v>
      </c>
      <c r="G76">
        <v>-3.1529769776611345</v>
      </c>
    </row>
    <row r="77" spans="1:8" x14ac:dyDescent="0.3">
      <c r="G77" t="s">
        <v>202</v>
      </c>
    </row>
    <row r="78" spans="1:8" x14ac:dyDescent="0.3">
      <c r="A78" s="6" t="s">
        <v>28</v>
      </c>
      <c r="C78" s="7"/>
      <c r="D78" s="7"/>
      <c r="E78" s="7"/>
      <c r="F78" s="7"/>
      <c r="G78" s="7" t="s">
        <v>202</v>
      </c>
      <c r="H78" s="7"/>
    </row>
    <row r="79" spans="1:8" x14ac:dyDescent="0.3">
      <c r="A79" t="s">
        <v>61</v>
      </c>
      <c r="B79">
        <v>6.63</v>
      </c>
      <c r="C79" t="s">
        <v>186</v>
      </c>
      <c r="D79" t="s">
        <v>187</v>
      </c>
      <c r="E79">
        <v>7.7931007174819786</v>
      </c>
      <c r="F79" t="s">
        <v>33</v>
      </c>
      <c r="G79">
        <v>17.542997247088667</v>
      </c>
    </row>
    <row r="80" spans="1:8" x14ac:dyDescent="0.3">
      <c r="A80" t="s">
        <v>69</v>
      </c>
      <c r="B80">
        <v>0.68</v>
      </c>
      <c r="C80" t="s">
        <v>223</v>
      </c>
      <c r="D80" t="s">
        <v>224</v>
      </c>
      <c r="E80">
        <v>0.69495030809781932</v>
      </c>
      <c r="F80" t="s">
        <v>51</v>
      </c>
      <c r="G80">
        <v>2.1985747202675405</v>
      </c>
    </row>
    <row r="81" spans="1:8" x14ac:dyDescent="0.3">
      <c r="G81" t="s">
        <v>202</v>
      </c>
    </row>
    <row r="82" spans="1:8" x14ac:dyDescent="0.3">
      <c r="A82" s="6" t="s">
        <v>99</v>
      </c>
      <c r="B82" t="s">
        <v>240</v>
      </c>
      <c r="C82" s="7"/>
      <c r="D82" s="7"/>
      <c r="E82" s="7"/>
      <c r="F82" s="7"/>
      <c r="G82" s="7" t="s">
        <v>202</v>
      </c>
      <c r="H82" s="7"/>
    </row>
    <row r="83" spans="1:8" x14ac:dyDescent="0.3">
      <c r="A83" t="s">
        <v>92</v>
      </c>
      <c r="B83">
        <v>41.48</v>
      </c>
      <c r="C83" t="s">
        <v>188</v>
      </c>
      <c r="D83" t="s">
        <v>191</v>
      </c>
      <c r="E83">
        <v>37.485375251806659</v>
      </c>
      <c r="F83" t="s">
        <v>14</v>
      </c>
      <c r="G83">
        <v>-9.630242883783362</v>
      </c>
    </row>
    <row r="84" spans="1:8" x14ac:dyDescent="0.3">
      <c r="A84" t="s">
        <v>135</v>
      </c>
      <c r="B84" t="s">
        <v>240</v>
      </c>
      <c r="C84" t="s">
        <v>189</v>
      </c>
      <c r="D84" t="s">
        <v>192</v>
      </c>
      <c r="E84">
        <v>110.26033571093279</v>
      </c>
      <c r="F84" t="s">
        <v>14</v>
      </c>
      <c r="G84" t="e">
        <v>#VALUE!</v>
      </c>
      <c r="H84" t="s">
        <v>136</v>
      </c>
    </row>
    <row r="85" spans="1:8" x14ac:dyDescent="0.3">
      <c r="A85" t="s">
        <v>78</v>
      </c>
      <c r="B85">
        <v>105.44</v>
      </c>
      <c r="C85" t="s">
        <v>190</v>
      </c>
      <c r="D85" t="s">
        <v>193</v>
      </c>
      <c r="E85">
        <v>104.24544957232973</v>
      </c>
      <c r="F85" t="s">
        <v>14</v>
      </c>
      <c r="G85">
        <v>-1.1329196013564728</v>
      </c>
    </row>
    <row r="86" spans="1:8" x14ac:dyDescent="0.3">
      <c r="G86" t="s">
        <v>202</v>
      </c>
    </row>
    <row r="87" spans="1:8" x14ac:dyDescent="0.3">
      <c r="A87" s="6" t="s">
        <v>100</v>
      </c>
      <c r="C87" s="7"/>
      <c r="D87" s="7"/>
      <c r="E87" s="7"/>
      <c r="F87" s="7"/>
      <c r="G87" s="7" t="s">
        <v>202</v>
      </c>
      <c r="H87" s="7"/>
    </row>
    <row r="88" spans="1:8" x14ac:dyDescent="0.3">
      <c r="A88" t="s">
        <v>89</v>
      </c>
      <c r="B88">
        <v>30.6</v>
      </c>
      <c r="C88" t="s">
        <v>194</v>
      </c>
      <c r="D88" t="s">
        <v>196</v>
      </c>
      <c r="E88">
        <v>30.600587099853783</v>
      </c>
      <c r="F88" t="s">
        <v>14</v>
      </c>
      <c r="G88">
        <v>1.9186269731424209E-3</v>
      </c>
      <c r="H88" s="3"/>
    </row>
    <row r="89" spans="1:8" x14ac:dyDescent="0.3">
      <c r="G89" t="s">
        <v>202</v>
      </c>
    </row>
    <row r="90" spans="1:8" x14ac:dyDescent="0.3">
      <c r="A90" s="6" t="s">
        <v>101</v>
      </c>
      <c r="C90" s="7"/>
      <c r="D90" s="7"/>
      <c r="E90" s="7"/>
      <c r="F90" s="7"/>
      <c r="G90" s="7" t="s">
        <v>202</v>
      </c>
      <c r="H90" s="7"/>
    </row>
    <row r="91" spans="1:8" x14ac:dyDescent="0.3">
      <c r="A91" t="s">
        <v>90</v>
      </c>
      <c r="B91">
        <v>22.26</v>
      </c>
      <c r="C91" t="s">
        <v>195</v>
      </c>
      <c r="D91" t="s">
        <v>197</v>
      </c>
      <c r="E91">
        <v>22.260067020928204</v>
      </c>
      <c r="F91" t="s">
        <v>14</v>
      </c>
      <c r="G91">
        <v>3.0108233693964783E-4</v>
      </c>
    </row>
    <row r="92" spans="1:8" x14ac:dyDescent="0.3">
      <c r="G92" t="s">
        <v>202</v>
      </c>
    </row>
    <row r="93" spans="1:8" x14ac:dyDescent="0.3">
      <c r="A93" s="6" t="s">
        <v>102</v>
      </c>
      <c r="C93" s="7"/>
      <c r="D93" s="7"/>
      <c r="E93" s="7"/>
      <c r="F93" s="7"/>
      <c r="G93" s="7" t="s">
        <v>202</v>
      </c>
      <c r="H93" s="7"/>
    </row>
    <row r="94" spans="1:8" x14ac:dyDescent="0.3">
      <c r="A94" t="s">
        <v>62</v>
      </c>
      <c r="B94">
        <v>228.23</v>
      </c>
      <c r="E94" t="s">
        <v>241</v>
      </c>
      <c r="F94" t="s">
        <v>33</v>
      </c>
      <c r="G94" t="e">
        <v>#VALUE!</v>
      </c>
    </row>
    <row r="95" spans="1:8" s="3" customFormat="1" x14ac:dyDescent="0.3">
      <c r="A95" t="s">
        <v>71</v>
      </c>
      <c r="B95">
        <v>1.071</v>
      </c>
      <c r="C95"/>
      <c r="D95"/>
      <c r="E95" t="s">
        <v>241</v>
      </c>
      <c r="F95" t="s">
        <v>95</v>
      </c>
      <c r="G95" t="e">
        <v>#VALUE!</v>
      </c>
    </row>
    <row r="96" spans="1:8" x14ac:dyDescent="0.3">
      <c r="A96" t="s">
        <v>72</v>
      </c>
      <c r="B96">
        <v>1.0960000000000001</v>
      </c>
      <c r="E96" t="s">
        <v>241</v>
      </c>
      <c r="F96" t="s">
        <v>95</v>
      </c>
      <c r="G96" t="e">
        <v>#VALUE!</v>
      </c>
    </row>
    <row r="97" spans="1:8" x14ac:dyDescent="0.3">
      <c r="A97" t="s">
        <v>77</v>
      </c>
      <c r="B97">
        <v>36.46</v>
      </c>
      <c r="E97" t="s">
        <v>241</v>
      </c>
      <c r="F97" t="s">
        <v>14</v>
      </c>
      <c r="G97" t="e">
        <v>#VALUE!</v>
      </c>
    </row>
    <row r="98" spans="1:8" x14ac:dyDescent="0.3">
      <c r="A98" t="s">
        <v>91</v>
      </c>
      <c r="B98">
        <v>37.090000000000003</v>
      </c>
      <c r="E98" t="s">
        <v>241</v>
      </c>
      <c r="F98" t="s">
        <v>14</v>
      </c>
      <c r="G98" t="e">
        <v>#VALUE!</v>
      </c>
    </row>
    <row r="99" spans="1:8" x14ac:dyDescent="0.3">
      <c r="A99" s="6" t="s">
        <v>260</v>
      </c>
      <c r="B99" s="7"/>
      <c r="C99" s="7"/>
      <c r="D99" s="7"/>
      <c r="E99" s="7"/>
      <c r="F99" s="7"/>
      <c r="G99" s="7" t="s">
        <v>202</v>
      </c>
    </row>
    <row r="100" spans="1:8" x14ac:dyDescent="0.3">
      <c r="A100" t="s">
        <v>265</v>
      </c>
      <c r="B100">
        <v>0.44</v>
      </c>
      <c r="C100" t="s">
        <v>244</v>
      </c>
      <c r="D100" t="s">
        <v>243</v>
      </c>
      <c r="E100">
        <v>0.50923700000000005</v>
      </c>
      <c r="F100" t="s">
        <v>33</v>
      </c>
      <c r="G100">
        <v>15.735681818181829</v>
      </c>
    </row>
    <row r="101" spans="1:8" x14ac:dyDescent="0.3">
      <c r="A101" t="s">
        <v>265</v>
      </c>
      <c r="B101">
        <v>0.31</v>
      </c>
      <c r="C101" t="s">
        <v>250</v>
      </c>
      <c r="D101" t="s">
        <v>251</v>
      </c>
      <c r="E101">
        <v>0.34517100000000001</v>
      </c>
      <c r="F101" t="s">
        <v>43</v>
      </c>
      <c r="G101">
        <v>11.345483870967746</v>
      </c>
      <c r="H101" t="s">
        <v>256</v>
      </c>
    </row>
    <row r="102" spans="1:8" x14ac:dyDescent="0.3">
      <c r="A102" t="s">
        <v>261</v>
      </c>
      <c r="B102">
        <v>69.80306345733041</v>
      </c>
      <c r="C102" t="s">
        <v>247</v>
      </c>
      <c r="D102" t="s">
        <v>252</v>
      </c>
      <c r="E102">
        <v>93.3</v>
      </c>
      <c r="F102" t="s">
        <v>229</v>
      </c>
      <c r="G102">
        <v>33.661755485893423</v>
      </c>
      <c r="H102" t="s">
        <v>257</v>
      </c>
    </row>
    <row r="103" spans="1:8" x14ac:dyDescent="0.3">
      <c r="A103" t="s">
        <v>261</v>
      </c>
      <c r="B103">
        <v>4.523076923076923</v>
      </c>
      <c r="C103" t="s">
        <v>248</v>
      </c>
      <c r="D103" t="s">
        <v>253</v>
      </c>
      <c r="E103">
        <v>3.8553000000000002</v>
      </c>
      <c r="F103" t="s">
        <v>255</v>
      </c>
      <c r="G103">
        <v>-14.763775510204075</v>
      </c>
      <c r="H103" t="s">
        <v>258</v>
      </c>
    </row>
    <row r="104" spans="1:8" x14ac:dyDescent="0.3">
      <c r="C104" t="s">
        <v>249</v>
      </c>
      <c r="D104" t="s">
        <v>254</v>
      </c>
      <c r="E104">
        <v>-5.9299999999999998E-5</v>
      </c>
      <c r="F104" t="s">
        <v>229</v>
      </c>
      <c r="G104" t="e">
        <v>#DIV/0!</v>
      </c>
      <c r="H104" t="s">
        <v>259</v>
      </c>
    </row>
    <row r="105" spans="1:8" x14ac:dyDescent="0.3">
      <c r="B105" s="9"/>
    </row>
    <row r="126" spans="1:4" x14ac:dyDescent="0.3">
      <c r="A126" s="3"/>
    </row>
    <row r="127" spans="1:4" x14ac:dyDescent="0.3">
      <c r="C127" s="10"/>
      <c r="D127" s="10"/>
    </row>
    <row r="131" spans="1:4" x14ac:dyDescent="0.3">
      <c r="A131" s="3"/>
    </row>
    <row r="137" spans="1:4" x14ac:dyDescent="0.3">
      <c r="A137" s="1"/>
      <c r="C137" s="1"/>
      <c r="D137" s="1"/>
    </row>
    <row r="138" spans="1:4" x14ac:dyDescent="0.3">
      <c r="A138" s="1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  <row r="143" spans="1:4" x14ac:dyDescent="0.3">
      <c r="A143" s="1"/>
    </row>
    <row r="144" spans="1:4" x14ac:dyDescent="0.3">
      <c r="A144" s="1"/>
    </row>
  </sheetData>
  <conditionalFormatting sqref="G13:G104">
    <cfRule type="expression" dxfId="5" priority="4">
      <formula>ABS(G13)&gt;10</formula>
    </cfRule>
    <cfRule type="expression" dxfId="4" priority="5">
      <formula>AND(ABS(G13)&gt;=5,ABS(G13)&lt;10)</formula>
    </cfRule>
    <cfRule type="expression" dxfId="3" priority="6">
      <formula>ABS(G13)&lt;5</formula>
    </cfRule>
  </conditionalFormatting>
  <conditionalFormatting sqref="H101:H104">
    <cfRule type="expression" dxfId="2" priority="1">
      <formula>ABS(H101)&gt;10</formula>
    </cfRule>
    <cfRule type="expression" dxfId="1" priority="2">
      <formula>AND(ABS(H101)&gt;=5,ABS(H101)&lt;10)</formula>
    </cfRule>
    <cfRule type="expression" dxfId="0" priority="3">
      <formula>ABS(H101)&lt;5</formula>
    </cfRule>
  </conditionalFormatting>
  <pageMargins left="0.7" right="0.7" top="0.75" bottom="0.75" header="0.3" footer="0.3"/>
  <headerFooter>
    <oddFooter>&amp;C_x000D_&amp;1#&amp;"Aptos"&amp;14&amp;K000000 KDI LIMITED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876673CFEC46BCD76A156DB0EDB7" ma:contentTypeVersion="3" ma:contentTypeDescription="Opprett et nytt dokument." ma:contentTypeScope="" ma:versionID="888a8248ff98e23a0319745380717b58">
  <xsd:schema xmlns:xsd="http://www.w3.org/2001/XMLSchema" xmlns:xs="http://www.w3.org/2001/XMLSchema" xmlns:p="http://schemas.microsoft.com/office/2006/metadata/properties" xmlns:ns2="ff8e6262-2a7a-49d9-9e6a-a9de61d2ef50" targetNamespace="http://schemas.microsoft.com/office/2006/metadata/properties" ma:root="true" ma:fieldsID="b65d8868b505aaa1027cfc51b51d5133" ns2:_="">
    <xsd:import namespace="ff8e6262-2a7a-49d9-9e6a-a9de61d2ef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e6262-2a7a-49d9-9e6a-a9de61d2e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A379CF-09D0-4F6B-BD83-5C1660CBB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e6262-2a7a-49d9-9e6a-a9de61d2e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C74204-B257-4774-95D3-48DA2FC77A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8BEB2-461E-4C8E-9111-F3B7B3EEF147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ba3c1f1-adf9-4689-94c5-222692edcb2f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b8294be-1daf-4d3e-a6ad-d65452cc3d53}" enabled="1" method="Standard" siteId="{bf7cb870-b378-42ab-a618-31704bc2e9b7}" removed="0"/>
  <clbl:label id="{bc758dd0-ab53-4372-9a7c-e98a9620862c}" enabled="0" method="" siteId="{bc758dd0-ab53-4372-9a7c-e98a962086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Appendix A</vt:lpstr>
      <vt:lpstr>SS case 1</vt:lpstr>
      <vt:lpstr>SS case 1 (v19.5)</vt:lpstr>
      <vt:lpstr>SS case 2</vt:lpstr>
      <vt:lpstr>SS case 2 (v19.5)</vt:lpstr>
      <vt:lpstr>SS case 3</vt:lpstr>
      <vt:lpstr>SS case 3 (v19.5)</vt:lpstr>
      <vt:lpstr>SS case 5</vt:lpstr>
      <vt:lpstr>SS case 5 (v19.5)</vt:lpstr>
      <vt:lpstr>SS case 6</vt:lpstr>
      <vt:lpstr>SS case 6 (v19.5)</vt:lpstr>
      <vt:lpstr>SS case 7</vt:lpstr>
      <vt:lpstr>SS case 7 (v19.5)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Vetle Bø Søli</dc:creator>
  <cp:keywords/>
  <dc:description/>
  <cp:lastModifiedBy>Vetle Bø Søli</cp:lastModifiedBy>
  <cp:revision/>
  <dcterms:created xsi:type="dcterms:W3CDTF">2026-04-16T07:14:57Z</dcterms:created>
  <dcterms:modified xsi:type="dcterms:W3CDTF">2026-05-09T20:17:25Z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0x0101004036876673CFEC46BCD76A156DB0EDB7</vt:lpwstr>
  </property>
</Properties>
</file>