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sn-my.sharepoint.com/personal/266754_usn_no/Documents/USN/26V Bachelor/K-Spice/GitHub/SS/"/>
    </mc:Choice>
  </mc:AlternateContent>
  <xr:revisionPtr revIDLastSave="861" documentId="8_{FE25D56D-FB53-43E2-97EF-03961EF8FECC}" xr6:coauthVersionLast="47" xr6:coauthVersionMax="47" xr10:uidLastSave="{BE20BC3A-5299-491E-8123-6A3F63E634F2}"/>
  <bookViews>
    <workbookView xWindow="22932" yWindow="-4332" windowWidth="30936" windowHeight="16776" tabRatio="718" activeTab="9" xr2:uid="{00000000-000D-0000-FFFF-FFFF00000000}"/>
  </bookViews>
  <sheets>
    <sheet name="Appendix A" sheetId="2" r:id="rId1"/>
    <sheet name="SS case 1" sheetId="4" r:id="rId2"/>
    <sheet name="SS case 1 (v19.7_CL)" sheetId="17" r:id="rId3"/>
    <sheet name="SS case 2" sheetId="3" r:id="rId4"/>
    <sheet name="SS case 3" sheetId="5" r:id="rId5"/>
    <sheet name="SS case 4" sheetId="7" r:id="rId6"/>
    <sheet name="SS case 5" sheetId="8" r:id="rId7"/>
    <sheet name="SS case 6" sheetId="9" r:id="rId8"/>
    <sheet name="SS case 7" sheetId="10" r:id="rId9"/>
    <sheet name="SS case 8" sheetId="6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8" l="1"/>
  <c r="E13" i="8" a="1"/>
  <c r="E13" i="8" l="1"/>
  <c r="G13" i="8" s="1"/>
  <c r="B14" i="8"/>
  <c r="E14" i="8" a="1"/>
  <c r="E14" i="8" l="1"/>
  <c r="G14" i="8" s="1"/>
  <c r="B15" i="8"/>
  <c r="B16" i="8"/>
  <c r="B17" i="8"/>
  <c r="B18" i="8"/>
  <c r="B19" i="8"/>
  <c r="B21" i="8"/>
  <c r="B22" i="8"/>
  <c r="B23" i="8"/>
  <c r="B24" i="8"/>
  <c r="B27" i="8"/>
  <c r="B28" i="8"/>
  <c r="B29" i="8"/>
  <c r="B30" i="8"/>
  <c r="B31" i="8"/>
  <c r="B32" i="8"/>
  <c r="B35" i="8"/>
  <c r="B36" i="8"/>
  <c r="B37" i="8"/>
  <c r="B38" i="8"/>
  <c r="B39" i="8"/>
  <c r="E21" i="8" a="1"/>
  <c r="E35" i="8" a="1"/>
  <c r="E32" i="8" a="1"/>
  <c r="E15" i="8" a="1"/>
  <c r="E31" i="8" a="1"/>
  <c r="E16" i="8" a="1"/>
  <c r="E22" i="8" a="1"/>
  <c r="E28" i="8" a="1"/>
  <c r="E24" i="8" a="1"/>
  <c r="E20" i="8" a="1"/>
  <c r="E27" i="8" a="1"/>
  <c r="E19" i="8" a="1"/>
  <c r="E37" i="8" a="1"/>
  <c r="E17" i="8" a="1"/>
  <c r="E29" i="8" a="1"/>
  <c r="E23" i="8" a="1"/>
  <c r="E18" i="8" a="1"/>
  <c r="E30" i="8" a="1"/>
  <c r="E39" i="8" a="1"/>
  <c r="E36" i="8" a="1"/>
  <c r="E18" i="8" l="1"/>
  <c r="G18" i="8" s="1"/>
  <c r="E16" i="8"/>
  <c r="G16" i="8" s="1"/>
  <c r="E20" i="8"/>
  <c r="G20" i="8" s="1"/>
  <c r="E15" i="8"/>
  <c r="G15" i="8" s="1"/>
  <c r="E29" i="8"/>
  <c r="G29" i="8" s="1"/>
  <c r="E32" i="8"/>
  <c r="G32" i="8" s="1"/>
  <c r="E28" i="8"/>
  <c r="G28" i="8" s="1"/>
  <c r="E22" i="8"/>
  <c r="G22" i="8" s="1"/>
  <c r="E17" i="8"/>
  <c r="G17" i="8" s="1"/>
  <c r="E37" i="8"/>
  <c r="E31" i="8"/>
  <c r="G31" i="8" s="1"/>
  <c r="E27" i="8"/>
  <c r="G27" i="8" s="1"/>
  <c r="E21" i="8"/>
  <c r="G21" i="8" s="1"/>
  <c r="E36" i="8"/>
  <c r="E30" i="8"/>
  <c r="G30" i="8" s="1"/>
  <c r="E24" i="8"/>
  <c r="G24" i="8" s="1"/>
  <c r="E19" i="8"/>
  <c r="G19" i="8" s="1"/>
  <c r="E35" i="8"/>
  <c r="G35" i="8" s="1"/>
  <c r="E23" i="8"/>
  <c r="G23" i="8" s="1"/>
  <c r="E39" i="8"/>
  <c r="G39" i="8" s="1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6" i="8"/>
  <c r="B57" i="8"/>
  <c r="B58" i="8"/>
  <c r="B59" i="8"/>
  <c r="B62" i="8"/>
  <c r="B63" i="8"/>
  <c r="B64" i="8"/>
  <c r="B65" i="8"/>
  <c r="B66" i="8"/>
  <c r="B67" i="8"/>
  <c r="B68" i="8"/>
  <c r="B69" i="8"/>
  <c r="B72" i="8"/>
  <c r="B73" i="8"/>
  <c r="B74" i="8"/>
  <c r="B75" i="8"/>
  <c r="B76" i="8"/>
  <c r="B77" i="8"/>
  <c r="B80" i="8"/>
  <c r="B81" i="8"/>
  <c r="B83" i="8"/>
  <c r="B84" i="8"/>
  <c r="B85" i="8"/>
  <c r="B86" i="8"/>
  <c r="B89" i="8"/>
  <c r="B92" i="8"/>
  <c r="B95" i="8"/>
  <c r="B96" i="8"/>
  <c r="B97" i="8"/>
  <c r="B98" i="8"/>
  <c r="B99" i="8"/>
  <c r="B99" i="6"/>
  <c r="B98" i="6"/>
  <c r="B97" i="6"/>
  <c r="B96" i="6"/>
  <c r="B95" i="6"/>
  <c r="B92" i="6"/>
  <c r="B89" i="6"/>
  <c r="B86" i="6"/>
  <c r="B85" i="6"/>
  <c r="B84" i="6"/>
  <c r="B83" i="6"/>
  <c r="B81" i="6"/>
  <c r="B80" i="6"/>
  <c r="B77" i="6"/>
  <c r="B76" i="6"/>
  <c r="B75" i="6"/>
  <c r="B74" i="6"/>
  <c r="B73" i="6"/>
  <c r="B72" i="6"/>
  <c r="B69" i="6"/>
  <c r="B68" i="6"/>
  <c r="B67" i="6"/>
  <c r="B66" i="6"/>
  <c r="B65" i="6"/>
  <c r="B64" i="6"/>
  <c r="B63" i="6"/>
  <c r="B62" i="6"/>
  <c r="B59" i="6"/>
  <c r="B58" i="6"/>
  <c r="B57" i="6"/>
  <c r="B56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2" i="6"/>
  <c r="B31" i="6"/>
  <c r="B30" i="6"/>
  <c r="B29" i="6"/>
  <c r="B28" i="6"/>
  <c r="B27" i="6"/>
  <c r="B24" i="6"/>
  <c r="B23" i="6"/>
  <c r="B22" i="6"/>
  <c r="B21" i="6"/>
  <c r="B20" i="6"/>
  <c r="B19" i="6"/>
  <c r="B18" i="6"/>
  <c r="B17" i="6"/>
  <c r="B16" i="6"/>
  <c r="B15" i="6"/>
  <c r="B14" i="6"/>
  <c r="B13" i="6"/>
  <c r="B99" i="10"/>
  <c r="B98" i="10"/>
  <c r="B97" i="10"/>
  <c r="B96" i="10"/>
  <c r="B95" i="10"/>
  <c r="B92" i="10"/>
  <c r="B89" i="10"/>
  <c r="B86" i="10"/>
  <c r="B85" i="10"/>
  <c r="B84" i="10"/>
  <c r="B83" i="10"/>
  <c r="B81" i="10"/>
  <c r="B80" i="10"/>
  <c r="B77" i="10"/>
  <c r="B76" i="10"/>
  <c r="B75" i="10"/>
  <c r="B74" i="10"/>
  <c r="B73" i="10"/>
  <c r="B72" i="10"/>
  <c r="B69" i="10"/>
  <c r="B68" i="10"/>
  <c r="B67" i="10"/>
  <c r="B66" i="10"/>
  <c r="B65" i="10"/>
  <c r="B64" i="10"/>
  <c r="B63" i="10"/>
  <c r="B62" i="10"/>
  <c r="B59" i="10"/>
  <c r="B58" i="10"/>
  <c r="B57" i="10"/>
  <c r="B56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2" i="10"/>
  <c r="B31" i="10"/>
  <c r="B30" i="10"/>
  <c r="B29" i="10"/>
  <c r="B28" i="10"/>
  <c r="B27" i="10"/>
  <c r="B24" i="10"/>
  <c r="B23" i="10"/>
  <c r="B22" i="10"/>
  <c r="B21" i="10"/>
  <c r="B19" i="10"/>
  <c r="B18" i="10"/>
  <c r="B17" i="10"/>
  <c r="B16" i="10"/>
  <c r="B15" i="10"/>
  <c r="B14" i="10"/>
  <c r="B13" i="10"/>
  <c r="B99" i="9"/>
  <c r="B98" i="9"/>
  <c r="B97" i="9"/>
  <c r="B96" i="9"/>
  <c r="B95" i="9"/>
  <c r="B92" i="9"/>
  <c r="B89" i="9"/>
  <c r="B86" i="9"/>
  <c r="B85" i="9"/>
  <c r="B84" i="9"/>
  <c r="B83" i="9"/>
  <c r="B81" i="9"/>
  <c r="B80" i="9"/>
  <c r="B77" i="9"/>
  <c r="B76" i="9"/>
  <c r="B75" i="9"/>
  <c r="B74" i="9"/>
  <c r="B73" i="9"/>
  <c r="B72" i="9"/>
  <c r="B69" i="9"/>
  <c r="B68" i="9"/>
  <c r="B67" i="9"/>
  <c r="B66" i="9"/>
  <c r="B65" i="9"/>
  <c r="B64" i="9"/>
  <c r="B63" i="9"/>
  <c r="B62" i="9"/>
  <c r="B59" i="9"/>
  <c r="B58" i="9"/>
  <c r="B57" i="9"/>
  <c r="B56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2" i="9"/>
  <c r="B31" i="9"/>
  <c r="B30" i="9"/>
  <c r="B29" i="9"/>
  <c r="B28" i="9"/>
  <c r="B27" i="9"/>
  <c r="B24" i="9"/>
  <c r="B23" i="9"/>
  <c r="B22" i="9"/>
  <c r="B21" i="9"/>
  <c r="B19" i="9"/>
  <c r="B18" i="9"/>
  <c r="B17" i="9"/>
  <c r="B16" i="9"/>
  <c r="B15" i="9"/>
  <c r="B14" i="9"/>
  <c r="B13" i="9"/>
  <c r="B99" i="7"/>
  <c r="B98" i="7"/>
  <c r="B97" i="7"/>
  <c r="B96" i="7"/>
  <c r="B95" i="7"/>
  <c r="B92" i="7"/>
  <c r="B89" i="7"/>
  <c r="B86" i="7"/>
  <c r="B85" i="7"/>
  <c r="B84" i="7"/>
  <c r="B83" i="7"/>
  <c r="B81" i="7"/>
  <c r="B80" i="7"/>
  <c r="B77" i="7"/>
  <c r="B76" i="7"/>
  <c r="B75" i="7"/>
  <c r="B74" i="7"/>
  <c r="B73" i="7"/>
  <c r="B72" i="7"/>
  <c r="B69" i="7"/>
  <c r="B68" i="7"/>
  <c r="B67" i="7"/>
  <c r="B66" i="7"/>
  <c r="B65" i="7"/>
  <c r="B64" i="7"/>
  <c r="B63" i="7"/>
  <c r="B62" i="7"/>
  <c r="B59" i="7"/>
  <c r="B58" i="7"/>
  <c r="B57" i="7"/>
  <c r="B56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2" i="7"/>
  <c r="B31" i="7"/>
  <c r="B30" i="7"/>
  <c r="B29" i="7"/>
  <c r="B28" i="7"/>
  <c r="B27" i="7"/>
  <c r="B24" i="7"/>
  <c r="B23" i="7"/>
  <c r="B22" i="7"/>
  <c r="B21" i="7"/>
  <c r="B20" i="7"/>
  <c r="B19" i="7"/>
  <c r="B18" i="7"/>
  <c r="B17" i="7"/>
  <c r="B16" i="7"/>
  <c r="B15" i="7"/>
  <c r="B14" i="7"/>
  <c r="B13" i="7"/>
  <c r="B99" i="5"/>
  <c r="B98" i="5"/>
  <c r="B97" i="5"/>
  <c r="B96" i="5"/>
  <c r="B95" i="5"/>
  <c r="B92" i="5"/>
  <c r="B89" i="5"/>
  <c r="B86" i="5"/>
  <c r="B85" i="5"/>
  <c r="B84" i="5"/>
  <c r="B83" i="5"/>
  <c r="B81" i="5"/>
  <c r="B80" i="5"/>
  <c r="B77" i="5"/>
  <c r="B76" i="5"/>
  <c r="B75" i="5"/>
  <c r="B74" i="5"/>
  <c r="B73" i="5"/>
  <c r="B72" i="5"/>
  <c r="B69" i="5"/>
  <c r="B68" i="5"/>
  <c r="B67" i="5"/>
  <c r="B66" i="5"/>
  <c r="B65" i="5"/>
  <c r="B64" i="5"/>
  <c r="B63" i="5"/>
  <c r="B62" i="5"/>
  <c r="B59" i="5"/>
  <c r="B58" i="5"/>
  <c r="B57" i="5"/>
  <c r="B56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2" i="5"/>
  <c r="B31" i="5"/>
  <c r="B30" i="5"/>
  <c r="B29" i="5"/>
  <c r="B28" i="5"/>
  <c r="B27" i="5"/>
  <c r="B24" i="5"/>
  <c r="B23" i="5"/>
  <c r="B22" i="5"/>
  <c r="B21" i="5"/>
  <c r="B19" i="5"/>
  <c r="B18" i="5"/>
  <c r="B17" i="5"/>
  <c r="B16" i="5"/>
  <c r="B15" i="5"/>
  <c r="B14" i="5"/>
  <c r="B13" i="5"/>
  <c r="B99" i="3"/>
  <c r="B98" i="3"/>
  <c r="B97" i="3"/>
  <c r="B96" i="3"/>
  <c r="B95" i="3"/>
  <c r="B92" i="3"/>
  <c r="B89" i="3"/>
  <c r="B86" i="3"/>
  <c r="B84" i="3"/>
  <c r="B83" i="3"/>
  <c r="B81" i="3"/>
  <c r="B80" i="3"/>
  <c r="B77" i="3"/>
  <c r="B76" i="3"/>
  <c r="B75" i="3"/>
  <c r="B74" i="3"/>
  <c r="B73" i="3"/>
  <c r="B72" i="3"/>
  <c r="B69" i="3"/>
  <c r="B68" i="3"/>
  <c r="B67" i="3"/>
  <c r="B66" i="3"/>
  <c r="B65" i="3"/>
  <c r="B64" i="3"/>
  <c r="B63" i="3"/>
  <c r="B62" i="3"/>
  <c r="B59" i="3"/>
  <c r="B58" i="3"/>
  <c r="B57" i="3"/>
  <c r="B56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2" i="3"/>
  <c r="B31" i="3"/>
  <c r="B30" i="3"/>
  <c r="B29" i="3"/>
  <c r="B28" i="3"/>
  <c r="B27" i="3"/>
  <c r="B24" i="3"/>
  <c r="B23" i="3"/>
  <c r="B22" i="3"/>
  <c r="B21" i="3"/>
  <c r="B19" i="3"/>
  <c r="B18" i="3"/>
  <c r="B17" i="3"/>
  <c r="B16" i="3"/>
  <c r="B15" i="3"/>
  <c r="B14" i="3"/>
  <c r="B13" i="3"/>
  <c r="B99" i="4"/>
  <c r="B98" i="4"/>
  <c r="B97" i="4"/>
  <c r="B96" i="4"/>
  <c r="B95" i="4"/>
  <c r="B92" i="4"/>
  <c r="B89" i="4"/>
  <c r="B86" i="4"/>
  <c r="B84" i="4"/>
  <c r="B83" i="4"/>
  <c r="B81" i="4"/>
  <c r="B80" i="4"/>
  <c r="B77" i="4"/>
  <c r="B76" i="4"/>
  <c r="B75" i="4"/>
  <c r="B74" i="4"/>
  <c r="B73" i="4"/>
  <c r="B72" i="4"/>
  <c r="B69" i="4"/>
  <c r="B68" i="4"/>
  <c r="B67" i="4"/>
  <c r="B66" i="4"/>
  <c r="B65" i="4"/>
  <c r="B64" i="4"/>
  <c r="B63" i="4"/>
  <c r="B62" i="4"/>
  <c r="B59" i="4"/>
  <c r="B58" i="4"/>
  <c r="B57" i="4"/>
  <c r="B56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2" i="4"/>
  <c r="B31" i="4"/>
  <c r="B30" i="4"/>
  <c r="B29" i="4"/>
  <c r="B28" i="4"/>
  <c r="B27" i="4"/>
  <c r="B24" i="4"/>
  <c r="B23" i="4"/>
  <c r="B22" i="4"/>
  <c r="B21" i="4"/>
  <c r="B19" i="4"/>
  <c r="B18" i="4"/>
  <c r="B17" i="4"/>
  <c r="B16" i="4"/>
  <c r="B15" i="4"/>
  <c r="B14" i="4"/>
  <c r="B13" i="4"/>
  <c r="E27" i="10" a="1"/>
  <c r="E18" i="6" a="1"/>
  <c r="E63" i="3" a="1"/>
  <c r="E99" i="4" a="1"/>
  <c r="E81" i="6" a="1"/>
  <c r="E28" i="5" a="1"/>
  <c r="E47" i="7" a="1"/>
  <c r="E30" i="7" a="1"/>
  <c r="E62" i="6" a="1"/>
  <c r="E72" i="9" a="1"/>
  <c r="E45" i="4" a="1"/>
  <c r="E53" i="8" a="1"/>
  <c r="E31" i="6" a="1"/>
  <c r="E53" i="9" a="1"/>
  <c r="E36" i="6" a="1"/>
  <c r="E95" i="5" a="1"/>
  <c r="E75" i="10" a="1"/>
  <c r="E24" i="4" a="1"/>
  <c r="E76" i="6" a="1"/>
  <c r="E84" i="9" a="1"/>
  <c r="E45" i="5" a="1"/>
  <c r="E62" i="8" a="1"/>
  <c r="E17" i="6" a="1"/>
  <c r="E76" i="3" a="1"/>
  <c r="E30" i="6" a="1"/>
  <c r="E64" i="5" a="1"/>
  <c r="E75" i="4" a="1"/>
  <c r="E95" i="10" a="1"/>
  <c r="E43" i="6" a="1"/>
  <c r="E31" i="10" a="1"/>
  <c r="E28" i="9" a="1"/>
  <c r="E29" i="10" a="1"/>
  <c r="E62" i="5" a="1"/>
  <c r="E63" i="10" a="1"/>
  <c r="E98" i="4" a="1"/>
  <c r="E85" i="9" a="1"/>
  <c r="E39" i="4" a="1"/>
  <c r="E59" i="10" a="1"/>
  <c r="E42" i="8" a="1"/>
  <c r="E29" i="9" a="1"/>
  <c r="E69" i="9" a="1"/>
  <c r="E98" i="10" a="1"/>
  <c r="E96" i="5" a="1"/>
  <c r="E65" i="9" a="1"/>
  <c r="E28" i="3" a="1"/>
  <c r="E31" i="5" a="1"/>
  <c r="E74" i="10" a="1"/>
  <c r="E72" i="8" a="1"/>
  <c r="E65" i="3" a="1"/>
  <c r="E99" i="6" a="1"/>
  <c r="E27" i="7" a="1"/>
  <c r="E63" i="7" a="1"/>
  <c r="E76" i="7" a="1"/>
  <c r="E29" i="4" a="1"/>
  <c r="E62" i="9" a="1"/>
  <c r="E49" i="3" a="1"/>
  <c r="E22" i="7" a="1"/>
  <c r="E56" i="3" a="1"/>
  <c r="E84" i="5" a="1"/>
  <c r="E92" i="3" a="1"/>
  <c r="E37" i="6" a="1"/>
  <c r="E14" i="9" a="1"/>
  <c r="E17" i="9" a="1"/>
  <c r="E63" i="9" a="1"/>
  <c r="E66" i="9" a="1"/>
  <c r="E73" i="3" a="1"/>
  <c r="E46" i="3" a="1"/>
  <c r="E46" i="6" a="1"/>
  <c r="E92" i="6" a="1"/>
  <c r="E69" i="5" a="1"/>
  <c r="E36" i="9" a="1"/>
  <c r="E67" i="10" a="1"/>
  <c r="E29" i="6" a="1"/>
  <c r="E20" i="10" a="1"/>
  <c r="E69" i="8" a="1"/>
  <c r="E74" i="4" a="1"/>
  <c r="E76" i="9" a="1"/>
  <c r="E14" i="5" a="1"/>
  <c r="E30" i="3" a="1"/>
  <c r="E17" i="7" a="1"/>
  <c r="E20" i="9" a="1"/>
  <c r="E62" i="4" a="1"/>
  <c r="E68" i="9" a="1"/>
  <c r="E16" i="4" a="1"/>
  <c r="E42" i="9" a="1"/>
  <c r="E86" i="5" a="1"/>
  <c r="E68" i="10" a="1"/>
  <c r="E45" i="8" a="1"/>
  <c r="E19" i="5" a="1"/>
  <c r="E19" i="10" a="1"/>
  <c r="E76" i="10" a="1"/>
  <c r="E65" i="5" a="1"/>
  <c r="E30" i="5" a="1"/>
  <c r="E67" i="4" a="1"/>
  <c r="E73" i="8" a="1"/>
  <c r="E84" i="7" a="1"/>
  <c r="E42" i="3" a="1"/>
  <c r="E64" i="3" a="1"/>
  <c r="E84" i="6" a="1"/>
  <c r="E68" i="6" a="1"/>
  <c r="E23" i="5" a="1"/>
  <c r="E14" i="6" a="1"/>
  <c r="E65" i="10" a="1"/>
  <c r="E64" i="10" a="1"/>
  <c r="E18" i="3" a="1"/>
  <c r="E63" i="4" a="1"/>
  <c r="E14" i="4" a="1"/>
  <c r="E92" i="4" a="1"/>
  <c r="E32" i="9" a="1"/>
  <c r="E21" i="4" a="1"/>
  <c r="E23" i="4" a="1"/>
  <c r="E77" i="5" a="1"/>
  <c r="E35" i="5" a="1"/>
  <c r="E63" i="8" a="1"/>
  <c r="E56" i="6" a="1"/>
  <c r="E85" i="7" a="1"/>
  <c r="E96" i="6" a="1"/>
  <c r="E58" i="7" a="1"/>
  <c r="E84" i="4" a="1"/>
  <c r="E49" i="8" a="1"/>
  <c r="E95" i="8" a="1"/>
  <c r="E17" i="10" a="1"/>
  <c r="E50" i="8" a="1"/>
  <c r="E23" i="9" a="1"/>
  <c r="E96" i="4" a="1"/>
  <c r="E43" i="3" a="1"/>
  <c r="E41" i="8" a="1"/>
  <c r="E73" i="6" a="1"/>
  <c r="E42" i="10" a="1"/>
  <c r="E75" i="9" a="1"/>
  <c r="E95" i="4" a="1"/>
  <c r="E49" i="4" a="1"/>
  <c r="E15" i="3" a="1"/>
  <c r="E45" i="7" a="1"/>
  <c r="E49" i="9" a="1"/>
  <c r="E50" i="9" a="1"/>
  <c r="E21" i="7" a="1"/>
  <c r="E44" i="5" a="1"/>
  <c r="E27" i="9" a="1"/>
  <c r="E46" i="5" a="1"/>
  <c r="E37" i="7" a="1"/>
  <c r="E65" i="7" a="1"/>
  <c r="E48" i="3" a="1"/>
  <c r="E27" i="3" a="1"/>
  <c r="E65" i="6" a="1"/>
  <c r="E80" i="8" a="1"/>
  <c r="E16" i="7" a="1"/>
  <c r="E58" i="9" a="1"/>
  <c r="E16" i="6" a="1"/>
  <c r="E23" i="3" a="1"/>
  <c r="E80" i="6" a="1"/>
  <c r="E67" i="8" a="1"/>
  <c r="E89" i="6" a="1"/>
  <c r="E44" i="6" a="1"/>
  <c r="E39" i="6" a="1"/>
  <c r="E15" i="5" a="1"/>
  <c r="E17" i="3" a="1"/>
  <c r="E73" i="5" a="1"/>
  <c r="E32" i="5" a="1"/>
  <c r="E68" i="5" a="1"/>
  <c r="E85" i="6" a="1"/>
  <c r="E37" i="10" a="1"/>
  <c r="E96" i="3" a="1"/>
  <c r="E20" i="4" a="1"/>
  <c r="E39" i="9" a="1"/>
  <c r="E36" i="7" a="1"/>
  <c r="E44" i="10" a="1"/>
  <c r="E35" i="9" a="1"/>
  <c r="E22" i="10" a="1"/>
  <c r="E85" i="10" a="1"/>
  <c r="E81" i="10" a="1"/>
  <c r="E62" i="7" a="1"/>
  <c r="E18" i="4" a="1"/>
  <c r="E15" i="6" a="1"/>
  <c r="E46" i="8" a="1"/>
  <c r="E31" i="7" a="1"/>
  <c r="E28" i="7" a="1"/>
  <c r="E42" i="7" a="1"/>
  <c r="E74" i="8" a="1"/>
  <c r="E48" i="6" a="1"/>
  <c r="E17" i="5" a="1"/>
  <c r="E42" i="4" a="1"/>
  <c r="E40" i="7" a="1"/>
  <c r="E92" i="9" a="1"/>
  <c r="E72" i="10" a="1"/>
  <c r="E48" i="9" a="1"/>
  <c r="E67" i="9" a="1"/>
  <c r="E13" i="10" a="1"/>
  <c r="E16" i="5" a="1"/>
  <c r="E40" i="5" a="1"/>
  <c r="E14" i="7" a="1"/>
  <c r="E98" i="3" a="1"/>
  <c r="E86" i="4" a="1"/>
  <c r="E22" i="6" a="1"/>
  <c r="E84" i="3" a="1"/>
  <c r="E56" i="5" a="1"/>
  <c r="E59" i="5" a="1"/>
  <c r="E63" i="5" a="1"/>
  <c r="E39" i="7" a="1"/>
  <c r="E80" i="9" a="1"/>
  <c r="E42" i="6" a="1"/>
  <c r="E72" i="3" a="1"/>
  <c r="E99" i="9" a="1"/>
  <c r="E74" i="6" a="1"/>
  <c r="E40" i="10" a="1"/>
  <c r="E21" i="5" a="1"/>
  <c r="E43" i="4" a="1"/>
  <c r="E36" i="3" a="1"/>
  <c r="E23" i="6" a="1"/>
  <c r="E48" i="5" a="1"/>
  <c r="E84" i="8" a="1"/>
  <c r="E81" i="4" a="1"/>
  <c r="E97" i="8" a="1"/>
  <c r="E15" i="10" a="1"/>
  <c r="E95" i="3" a="1"/>
  <c r="E98" i="8" a="1"/>
  <c r="E53" i="6" a="1"/>
  <c r="E43" i="7" a="1"/>
  <c r="E77" i="8" a="1"/>
  <c r="E30" i="4" a="1"/>
  <c r="E59" i="8" a="1"/>
  <c r="E67" i="6" a="1"/>
  <c r="E97" i="9" a="1"/>
  <c r="E66" i="10" a="1"/>
  <c r="E20" i="5" a="1"/>
  <c r="E76" i="5" a="1"/>
  <c r="E18" i="9" a="1"/>
  <c r="E20" i="7" a="1"/>
  <c r="E47" i="10" a="1"/>
  <c r="E50" i="4" a="1"/>
  <c r="E47" i="4" a="1"/>
  <c r="E41" i="5" a="1"/>
  <c r="E80" i="3" a="1"/>
  <c r="E77" i="6" a="1"/>
  <c r="E50" i="7" a="1"/>
  <c r="E69" i="3" a="1"/>
  <c r="E29" i="3" a="1"/>
  <c r="E86" i="10" a="1"/>
  <c r="E77" i="3" a="1"/>
  <c r="E77" i="7" a="1"/>
  <c r="E13" i="9" a="1"/>
  <c r="E27" i="6" a="1"/>
  <c r="E92" i="10" a="1"/>
  <c r="E29" i="7" a="1"/>
  <c r="E89" i="10" a="1"/>
  <c r="E40" i="8" a="1"/>
  <c r="E58" i="5" a="1"/>
  <c r="E81" i="7" a="1"/>
  <c r="E28" i="10" a="1"/>
  <c r="E65" i="8" a="1"/>
  <c r="E28" i="4" a="1"/>
  <c r="E29" i="5" a="1"/>
  <c r="E73" i="9" a="1"/>
  <c r="E98" i="7" a="1"/>
  <c r="E96" i="8" a="1"/>
  <c r="E97" i="6" a="1"/>
  <c r="E98" i="9" a="1"/>
  <c r="E22" i="5" a="1"/>
  <c r="E20" i="6" a="1"/>
  <c r="E69" i="6" a="1"/>
  <c r="E36" i="4" a="1"/>
  <c r="E32" i="6" a="1"/>
  <c r="E59" i="6" a="1"/>
  <c r="E56" i="7" a="1"/>
  <c r="E21" i="9" a="1"/>
  <c r="E27" i="5" a="1"/>
  <c r="E86" i="9" a="1"/>
  <c r="E49" i="6" a="1"/>
  <c r="E37" i="4" a="1"/>
  <c r="E75" i="7" a="1"/>
  <c r="E14" i="10" a="1"/>
  <c r="E50" i="6" a="1"/>
  <c r="E35" i="6" a="1"/>
  <c r="E77" i="9" a="1"/>
  <c r="E56" i="4" a="1"/>
  <c r="E65" i="4" a="1"/>
  <c r="E75" i="5" a="1"/>
  <c r="E50" i="5" a="1"/>
  <c r="E27" i="4" a="1"/>
  <c r="E95" i="6" a="1"/>
  <c r="E97" i="7" a="1"/>
  <c r="E49" i="5" a="1"/>
  <c r="E99" i="7" a="1"/>
  <c r="E21" i="3" a="1"/>
  <c r="E23" i="10" a="1"/>
  <c r="E46" i="10" a="1"/>
  <c r="E73" i="4" a="1"/>
  <c r="E16" i="10" a="1"/>
  <c r="E59" i="7" a="1"/>
  <c r="E95" i="9" a="1"/>
  <c r="E58" i="10" a="1"/>
  <c r="E62" i="10" a="1"/>
  <c r="E24" i="7" a="1"/>
  <c r="E81" i="9" a="1"/>
  <c r="E19" i="6" a="1"/>
  <c r="E81" i="3" a="1"/>
  <c r="E45" i="10" a="1"/>
  <c r="E98" i="6" a="1"/>
  <c r="E40" i="3" a="1"/>
  <c r="E66" i="4" a="1"/>
  <c r="E77" i="10" a="1"/>
  <c r="E77" i="4" a="1"/>
  <c r="E72" i="5" a="1"/>
  <c r="E75" i="6" a="1"/>
  <c r="E48" i="8" a="1"/>
  <c r="E19" i="9" a="1"/>
  <c r="E47" i="5" a="1"/>
  <c r="E66" i="3" a="1"/>
  <c r="E44" i="8" a="1"/>
  <c r="E15" i="9" a="1"/>
  <c r="E89" i="9" a="1"/>
  <c r="E21" i="10" a="1"/>
  <c r="E76" i="8" a="1"/>
  <c r="E81" i="5" a="1"/>
  <c r="E39" i="3" a="1"/>
  <c r="E97" i="5" a="1"/>
  <c r="E85" i="5" a="1"/>
  <c r="E81" i="8" a="1"/>
  <c r="E37" i="9" a="1"/>
  <c r="E99" i="10" a="1"/>
  <c r="E69" i="10" a="1"/>
  <c r="E16" i="3" a="1"/>
  <c r="E15" i="7" a="1"/>
  <c r="E58" i="6" a="1"/>
  <c r="E21" i="6" a="1"/>
  <c r="E86" i="6" a="1"/>
  <c r="E92" i="5" a="1"/>
  <c r="E74" i="5" a="1"/>
  <c r="E85" i="4" a="1"/>
  <c r="E45" i="3" a="1"/>
  <c r="E32" i="7" a="1"/>
  <c r="E44" i="3" a="1"/>
  <c r="E67" i="5" a="1"/>
  <c r="E97" i="4" a="1"/>
  <c r="E75" i="3" a="1"/>
  <c r="E89" i="3" a="1"/>
  <c r="E41" i="6" a="1"/>
  <c r="E64" i="4" a="1"/>
  <c r="E53" i="4" a="1"/>
  <c r="E53" i="3" a="1"/>
  <c r="E59" i="3" a="1"/>
  <c r="E97" i="3" a="1"/>
  <c r="E30" i="10" a="1"/>
  <c r="E35" i="10" a="1"/>
  <c r="E41" i="10" a="1"/>
  <c r="E42" i="5" a="1"/>
  <c r="E41" i="7" a="1"/>
  <c r="E47" i="6" a="1"/>
  <c r="E96" i="10" a="1"/>
  <c r="E63" i="6" a="1"/>
  <c r="E13" i="7" a="1"/>
  <c r="E89" i="5" a="1"/>
  <c r="E99" i="5" a="1"/>
  <c r="E80" i="10" a="1"/>
  <c r="E75" i="8" a="1"/>
  <c r="E66" i="8" a="1"/>
  <c r="E24" i="6" a="1"/>
  <c r="E32" i="4" a="1"/>
  <c r="E53" i="7" a="1"/>
  <c r="E92" i="8" a="1"/>
  <c r="E59" i="4" a="1"/>
  <c r="E86" i="8" a="1"/>
  <c r="E86" i="7" a="1"/>
  <c r="E44" i="7" a="1"/>
  <c r="E46" i="9" a="1"/>
  <c r="E53" i="10" a="1"/>
  <c r="E89" i="4" a="1"/>
  <c r="E15" i="4" a="1"/>
  <c r="E96" i="9" a="1"/>
  <c r="E41" i="3" a="1"/>
  <c r="E47" i="9" a="1"/>
  <c r="E23" i="7" a="1"/>
  <c r="E43" i="10" a="1"/>
  <c r="E68" i="3" a="1"/>
  <c r="E13" i="5" a="1"/>
  <c r="E19" i="7" a="1"/>
  <c r="E40" i="6" a="1"/>
  <c r="E85" i="3" a="1"/>
  <c r="E50" i="10" a="1"/>
  <c r="E28" i="6" a="1"/>
  <c r="E45" i="9" a="1"/>
  <c r="E24" i="10" a="1"/>
  <c r="E97" i="10" a="1"/>
  <c r="E48" i="10" a="1"/>
  <c r="E64" i="8" a="1"/>
  <c r="E80" i="5" a="1"/>
  <c r="E95" i="7" a="1"/>
  <c r="E35" i="3" a="1"/>
  <c r="E46" i="4" a="1"/>
  <c r="E66" i="7" a="1"/>
  <c r="E19" i="3" a="1"/>
  <c r="E56" i="9" a="1"/>
  <c r="E22" i="3" a="1"/>
  <c r="E74" i="9" a="1"/>
  <c r="E36" i="5" a="1"/>
  <c r="E22" i="4" a="1"/>
  <c r="E73" i="7" a="1"/>
  <c r="E32" i="10" a="1"/>
  <c r="E69" i="7" a="1"/>
  <c r="E89" i="8" a="1"/>
  <c r="E13" i="4" a="1"/>
  <c r="E16" i="9" a="1"/>
  <c r="E53" i="5" a="1"/>
  <c r="E17" i="4" a="1"/>
  <c r="E62" i="3" a="1"/>
  <c r="E43" i="5" a="1"/>
  <c r="E40" i="9" a="1"/>
  <c r="E84" i="10" a="1"/>
  <c r="E58" i="3" a="1"/>
  <c r="E43" i="8" a="1"/>
  <c r="E72" i="4" a="1"/>
  <c r="E13" i="3" a="1"/>
  <c r="E40" i="4" a="1"/>
  <c r="E18" i="7" a="1"/>
  <c r="E44" i="9" a="1"/>
  <c r="E68" i="8" a="1"/>
  <c r="E22" i="9" a="1"/>
  <c r="E50" i="3" a="1"/>
  <c r="E64" i="7" a="1"/>
  <c r="E56" i="8" a="1"/>
  <c r="E30" i="9" a="1"/>
  <c r="E58" i="4" a="1"/>
  <c r="E31" i="3" a="1"/>
  <c r="E13" i="6" a="1"/>
  <c r="E41" i="9" a="1"/>
  <c r="E85" i="8" a="1"/>
  <c r="E89" i="7" a="1"/>
  <c r="E18" i="5" a="1"/>
  <c r="E20" i="3" a="1"/>
  <c r="E37" i="3" a="1"/>
  <c r="E35" i="4" a="1"/>
  <c r="E19" i="4" a="1"/>
  <c r="E47" i="8" a="1"/>
  <c r="E43" i="9" a="1"/>
  <c r="E32" i="3" a="1"/>
  <c r="E66" i="5" a="1"/>
  <c r="E48" i="4" a="1"/>
  <c r="E92" i="7" a="1"/>
  <c r="E80" i="4" a="1"/>
  <c r="E58" i="8" a="1"/>
  <c r="E68" i="7" a="1"/>
  <c r="E35" i="7" a="1"/>
  <c r="E49" i="7" a="1"/>
  <c r="E66" i="6" a="1"/>
  <c r="E39" i="5" a="1"/>
  <c r="E69" i="4" a="1"/>
  <c r="E56" i="10" a="1"/>
  <c r="E99" i="8" a="1"/>
  <c r="E64" i="6" a="1"/>
  <c r="E98" i="5" a="1"/>
  <c r="E37" i="5" a="1"/>
  <c r="E18" i="10" a="1"/>
  <c r="E24" i="5" a="1"/>
  <c r="E31" i="4" a="1"/>
  <c r="E72" i="6" a="1"/>
  <c r="E67" i="7" a="1"/>
  <c r="E31" i="9" a="1"/>
  <c r="E74" i="3" a="1"/>
  <c r="E74" i="7" a="1"/>
  <c r="E47" i="3" a="1"/>
  <c r="E49" i="10" a="1"/>
  <c r="E73" i="10" a="1"/>
  <c r="E59" i="9" a="1"/>
  <c r="E99" i="3" a="1"/>
  <c r="E72" i="7" a="1"/>
  <c r="E67" i="3" a="1"/>
  <c r="E46" i="7" a="1"/>
  <c r="E48" i="7" a="1"/>
  <c r="E64" i="9" a="1"/>
  <c r="E36" i="10" a="1"/>
  <c r="E24" i="9" a="1"/>
  <c r="E76" i="4" a="1"/>
  <c r="E45" i="6" a="1"/>
  <c r="E68" i="4" a="1"/>
  <c r="E86" i="3" a="1"/>
  <c r="E96" i="7" a="1"/>
  <c r="E24" i="3" a="1"/>
  <c r="E14" i="3" a="1"/>
  <c r="E41" i="4" a="1"/>
  <c r="E44" i="4" a="1"/>
  <c r="E39" i="10" a="1"/>
  <c r="E80" i="7" a="1"/>
  <c r="E38" i="8" l="1"/>
  <c r="G38" i="8" s="1"/>
  <c r="E92" i="8"/>
  <c r="G92" i="8" s="1"/>
  <c r="E84" i="8"/>
  <c r="G84" i="8" s="1"/>
  <c r="E97" i="8"/>
  <c r="G97" i="8" s="1"/>
  <c r="E76" i="8"/>
  <c r="G76" i="8" s="1"/>
  <c r="E72" i="8"/>
  <c r="G72" i="8" s="1"/>
  <c r="E66" i="8"/>
  <c r="G66" i="8" s="1"/>
  <c r="E62" i="8"/>
  <c r="G62" i="8" s="1"/>
  <c r="E48" i="8"/>
  <c r="G48" i="8" s="1"/>
  <c r="E44" i="8"/>
  <c r="G44" i="8" s="1"/>
  <c r="E40" i="8"/>
  <c r="G40" i="8" s="1"/>
  <c r="E53" i="8"/>
  <c r="G53" i="8" s="1"/>
  <c r="E89" i="8"/>
  <c r="G89" i="8" s="1"/>
  <c r="E81" i="8"/>
  <c r="G81" i="8" s="1"/>
  <c r="E75" i="8"/>
  <c r="G75" i="8" s="1"/>
  <c r="E69" i="8"/>
  <c r="G69" i="8" s="1"/>
  <c r="E65" i="8"/>
  <c r="G65" i="8" s="1"/>
  <c r="E59" i="8"/>
  <c r="G59" i="8" s="1"/>
  <c r="E47" i="8"/>
  <c r="G47" i="8" s="1"/>
  <c r="E43" i="8"/>
  <c r="G43" i="8" s="1"/>
  <c r="E99" i="8"/>
  <c r="G99" i="8" s="1"/>
  <c r="E96" i="8"/>
  <c r="G96" i="8" s="1"/>
  <c r="E86" i="8"/>
  <c r="G86" i="8" s="1"/>
  <c r="E80" i="8"/>
  <c r="G80" i="8" s="1"/>
  <c r="E74" i="8"/>
  <c r="G74" i="8" s="1"/>
  <c r="E68" i="8"/>
  <c r="G68" i="8" s="1"/>
  <c r="E64" i="8"/>
  <c r="G64" i="8" s="1"/>
  <c r="E58" i="8"/>
  <c r="G58" i="8" s="1"/>
  <c r="E50" i="8"/>
  <c r="G50" i="8" s="1"/>
  <c r="E46" i="8"/>
  <c r="G46" i="8" s="1"/>
  <c r="E42" i="8"/>
  <c r="G42" i="8" s="1"/>
  <c r="E98" i="8"/>
  <c r="G98" i="8" s="1"/>
  <c r="E95" i="8"/>
  <c r="G95" i="8" s="1"/>
  <c r="E85" i="8"/>
  <c r="G85" i="8" s="1"/>
  <c r="E77" i="8"/>
  <c r="G77" i="8" s="1"/>
  <c r="E73" i="8"/>
  <c r="G73" i="8" s="1"/>
  <c r="E67" i="8"/>
  <c r="G67" i="8" s="1"/>
  <c r="E63" i="8"/>
  <c r="G63" i="8" s="1"/>
  <c r="E49" i="8"/>
  <c r="G49" i="8" s="1"/>
  <c r="E45" i="8"/>
  <c r="G45" i="8" s="1"/>
  <c r="E41" i="8"/>
  <c r="G41" i="8" s="1"/>
  <c r="E56" i="8"/>
  <c r="G56" i="8" s="1"/>
  <c r="E99" i="6"/>
  <c r="E98" i="6"/>
  <c r="E97" i="6"/>
  <c r="E96" i="6"/>
  <c r="E95" i="6"/>
  <c r="E99" i="10"/>
  <c r="E98" i="10"/>
  <c r="E97" i="10"/>
  <c r="E96" i="10"/>
  <c r="E95" i="10"/>
  <c r="E98" i="9"/>
  <c r="E99" i="9"/>
  <c r="E97" i="9"/>
  <c r="E96" i="9"/>
  <c r="E95" i="9"/>
  <c r="E99" i="7"/>
  <c r="E97" i="7"/>
  <c r="E98" i="7"/>
  <c r="E96" i="7"/>
  <c r="E95" i="7"/>
  <c r="E99" i="5"/>
  <c r="E98" i="5"/>
  <c r="E97" i="5"/>
  <c r="E96" i="5"/>
  <c r="E95" i="5"/>
  <c r="E97" i="3"/>
  <c r="E99" i="3"/>
  <c r="E98" i="3"/>
  <c r="E96" i="3"/>
  <c r="E95" i="3"/>
  <c r="E99" i="4"/>
  <c r="E98" i="4"/>
  <c r="E97" i="4"/>
  <c r="E96" i="4"/>
  <c r="E95" i="4"/>
  <c r="E44" i="7"/>
  <c r="G44" i="7" s="1"/>
  <c r="E46" i="4"/>
  <c r="G46" i="4" s="1"/>
  <c r="E92" i="3"/>
  <c r="G92" i="3" s="1"/>
  <c r="E75" i="3"/>
  <c r="G75" i="3" s="1"/>
  <c r="E45" i="5"/>
  <c r="G45" i="5" s="1"/>
  <c r="E75" i="5"/>
  <c r="G75" i="5" s="1"/>
  <c r="E29" i="6"/>
  <c r="G29" i="6" s="1"/>
  <c r="E62" i="7"/>
  <c r="G62" i="7" s="1"/>
  <c r="E13" i="10"/>
  <c r="G13" i="10" s="1"/>
  <c r="E64" i="3"/>
  <c r="G64" i="3" s="1"/>
  <c r="E66" i="4"/>
  <c r="G66" i="4" s="1"/>
  <c r="E76" i="3"/>
  <c r="G76" i="3" s="1"/>
  <c r="E46" i="10"/>
  <c r="G46" i="10" s="1"/>
  <c r="E24" i="3"/>
  <c r="G24" i="3" s="1"/>
  <c r="E81" i="5"/>
  <c r="G81" i="5" s="1"/>
  <c r="E84" i="7"/>
  <c r="G84" i="7" s="1"/>
  <c r="E47" i="10"/>
  <c r="G47" i="10" s="1"/>
  <c r="E28" i="4"/>
  <c r="G28" i="4" s="1"/>
  <c r="E14" i="3"/>
  <c r="G14" i="3" s="1"/>
  <c r="E35" i="10"/>
  <c r="G35" i="10" s="1"/>
  <c r="E68" i="6"/>
  <c r="G68" i="6" s="1"/>
  <c r="E16" i="4"/>
  <c r="G16" i="4" s="1"/>
  <c r="E19" i="6"/>
  <c r="G19" i="6" s="1"/>
  <c r="E69" i="9"/>
  <c r="G69" i="9" s="1"/>
  <c r="E58" i="4"/>
  <c r="G58" i="4" s="1"/>
  <c r="E84" i="3"/>
  <c r="G84" i="3" s="1"/>
  <c r="E14" i="5"/>
  <c r="G14" i="5" s="1"/>
  <c r="E14" i="7"/>
  <c r="G14" i="7" s="1"/>
  <c r="E27" i="7"/>
  <c r="G27" i="7" s="1"/>
  <c r="E40" i="9"/>
  <c r="G40" i="9" s="1"/>
  <c r="E45" i="4"/>
  <c r="G45" i="4" s="1"/>
  <c r="E56" i="3"/>
  <c r="G56" i="3" s="1"/>
  <c r="E53" i="9"/>
  <c r="G53" i="9" s="1"/>
  <c r="E32" i="5"/>
  <c r="G32" i="5" s="1"/>
  <c r="E43" i="6"/>
  <c r="G43" i="6" s="1"/>
  <c r="E45" i="7"/>
  <c r="G45" i="7" s="1"/>
  <c r="E36" i="4"/>
  <c r="E77" i="4"/>
  <c r="G77" i="4" s="1"/>
  <c r="E63" i="3"/>
  <c r="G63" i="3" s="1"/>
  <c r="E20" i="5"/>
  <c r="G20" i="5" s="1"/>
  <c r="E65" i="4"/>
  <c r="G65" i="4" s="1"/>
  <c r="E23" i="3"/>
  <c r="G23" i="3" s="1"/>
  <c r="E37" i="3"/>
  <c r="E46" i="7"/>
  <c r="G46" i="7" s="1"/>
  <c r="E80" i="4"/>
  <c r="G80" i="4" s="1"/>
  <c r="E66" i="5"/>
  <c r="G66" i="5" s="1"/>
  <c r="E18" i="9"/>
  <c r="G18" i="9" s="1"/>
  <c r="E17" i="4"/>
  <c r="G17" i="4" s="1"/>
  <c r="E15" i="5"/>
  <c r="G15" i="5" s="1"/>
  <c r="E73" i="10"/>
  <c r="G73" i="10" s="1"/>
  <c r="E92" i="5"/>
  <c r="G92" i="5" s="1"/>
  <c r="E42" i="6"/>
  <c r="G42" i="6" s="1"/>
  <c r="E40" i="4"/>
  <c r="G40" i="4" s="1"/>
  <c r="E18" i="3"/>
  <c r="G18" i="3" s="1"/>
  <c r="E27" i="5"/>
  <c r="G27" i="5" s="1"/>
  <c r="E86" i="7"/>
  <c r="G86" i="7" s="1"/>
  <c r="E23" i="9"/>
  <c r="G23" i="9" s="1"/>
  <c r="E29" i="4"/>
  <c r="G29" i="4" s="1"/>
  <c r="E59" i="4"/>
  <c r="G59" i="4" s="1"/>
  <c r="E68" i="3"/>
  <c r="G68" i="3" s="1"/>
  <c r="E39" i="5"/>
  <c r="G39" i="5" s="1"/>
  <c r="E59" i="5"/>
  <c r="G59" i="5" s="1"/>
  <c r="E68" i="5"/>
  <c r="G68" i="5" s="1"/>
  <c r="E30" i="7"/>
  <c r="G30" i="7" s="1"/>
  <c r="E75" i="7"/>
  <c r="G75" i="7" s="1"/>
  <c r="E62" i="9"/>
  <c r="G62" i="9" s="1"/>
  <c r="E81" i="10"/>
  <c r="G81" i="10" s="1"/>
  <c r="E59" i="6"/>
  <c r="G59" i="6" s="1"/>
  <c r="E21" i="4"/>
  <c r="G21" i="4" s="1"/>
  <c r="E18" i="5"/>
  <c r="G18" i="5" s="1"/>
  <c r="E46" i="5"/>
  <c r="G46" i="5" s="1"/>
  <c r="E41" i="4"/>
  <c r="G41" i="4" s="1"/>
  <c r="E62" i="4"/>
  <c r="G62" i="4" s="1"/>
  <c r="E85" i="4"/>
  <c r="G85" i="4" s="1"/>
  <c r="E39" i="3"/>
  <c r="G39" i="3" s="1"/>
  <c r="E19" i="7"/>
  <c r="G19" i="7" s="1"/>
  <c r="E50" i="7"/>
  <c r="G50" i="7" s="1"/>
  <c r="E92" i="9"/>
  <c r="G92" i="9" s="1"/>
  <c r="E19" i="3"/>
  <c r="G19" i="3" s="1"/>
  <c r="E84" i="5"/>
  <c r="G84" i="5" s="1"/>
  <c r="E39" i="9"/>
  <c r="G39" i="9" s="1"/>
  <c r="E76" i="6"/>
  <c r="G76" i="6" s="1"/>
  <c r="E50" i="4"/>
  <c r="G50" i="4" s="1"/>
  <c r="E30" i="3"/>
  <c r="G30" i="3" s="1"/>
  <c r="E48" i="3"/>
  <c r="G48" i="3" s="1"/>
  <c r="E69" i="3"/>
  <c r="G69" i="3" s="1"/>
  <c r="E40" i="5"/>
  <c r="G40" i="5" s="1"/>
  <c r="E62" i="5"/>
  <c r="G62" i="5" s="1"/>
  <c r="E32" i="7"/>
  <c r="G32" i="7" s="1"/>
  <c r="E63" i="9"/>
  <c r="G63" i="9" s="1"/>
  <c r="E76" i="9"/>
  <c r="G76" i="9" s="1"/>
  <c r="E18" i="10"/>
  <c r="G18" i="10" s="1"/>
  <c r="E22" i="4"/>
  <c r="G22" i="4" s="1"/>
  <c r="E73" i="4"/>
  <c r="G73" i="4" s="1"/>
  <c r="E86" i="4"/>
  <c r="G86" i="4" s="1"/>
  <c r="E31" i="5"/>
  <c r="G31" i="5" s="1"/>
  <c r="E74" i="5"/>
  <c r="G74" i="5" s="1"/>
  <c r="E13" i="7"/>
  <c r="G13" i="7" s="1"/>
  <c r="E50" i="9"/>
  <c r="G50" i="9" s="1"/>
  <c r="E53" i="10"/>
  <c r="G53" i="10" s="1"/>
  <c r="E14" i="6"/>
  <c r="G14" i="6" s="1"/>
  <c r="E50" i="6"/>
  <c r="G50" i="6" s="1"/>
  <c r="E32" i="10"/>
  <c r="G32" i="10" s="1"/>
  <c r="E72" i="10"/>
  <c r="G72" i="10" s="1"/>
  <c r="E27" i="6"/>
  <c r="G27" i="6" s="1"/>
  <c r="E35" i="4"/>
  <c r="G35" i="4" s="1"/>
  <c r="E13" i="5"/>
  <c r="G13" i="5" s="1"/>
  <c r="E23" i="7"/>
  <c r="G23" i="7" s="1"/>
  <c r="E67" i="7"/>
  <c r="G67" i="7" s="1"/>
  <c r="E30" i="9"/>
  <c r="G30" i="9" s="1"/>
  <c r="E15" i="3"/>
  <c r="G15" i="3" s="1"/>
  <c r="E28" i="5"/>
  <c r="G28" i="5" s="1"/>
  <c r="E53" i="7"/>
  <c r="G53" i="7" s="1"/>
  <c r="E65" i="9"/>
  <c r="G65" i="9" s="1"/>
  <c r="E44" i="3"/>
  <c r="G44" i="3" s="1"/>
  <c r="E41" i="5"/>
  <c r="G41" i="5" s="1"/>
  <c r="E20" i="7"/>
  <c r="G20" i="7" s="1"/>
  <c r="E72" i="7"/>
  <c r="G72" i="7" s="1"/>
  <c r="E13" i="9"/>
  <c r="G13" i="9" s="1"/>
  <c r="E35" i="9"/>
  <c r="G35" i="9" s="1"/>
  <c r="E47" i="9"/>
  <c r="G47" i="9" s="1"/>
  <c r="E48" i="10"/>
  <c r="G48" i="10" s="1"/>
  <c r="E56" i="10"/>
  <c r="G56" i="10" s="1"/>
  <c r="E66" i="10"/>
  <c r="G66" i="10" s="1"/>
  <c r="E39" i="6"/>
  <c r="G39" i="6" s="1"/>
  <c r="E13" i="4"/>
  <c r="G13" i="4" s="1"/>
  <c r="E18" i="4"/>
  <c r="G18" i="4" s="1"/>
  <c r="E23" i="4"/>
  <c r="G23" i="4" s="1"/>
  <c r="E30" i="4"/>
  <c r="G30" i="4" s="1"/>
  <c r="E74" i="4"/>
  <c r="G74" i="4" s="1"/>
  <c r="E49" i="3"/>
  <c r="G49" i="3" s="1"/>
  <c r="E65" i="3"/>
  <c r="G65" i="3" s="1"/>
  <c r="E64" i="5"/>
  <c r="G64" i="5" s="1"/>
  <c r="E69" i="5"/>
  <c r="G69" i="5" s="1"/>
  <c r="E76" i="5"/>
  <c r="G76" i="5" s="1"/>
  <c r="E89" i="7"/>
  <c r="G89" i="7" s="1"/>
  <c r="E14" i="10"/>
  <c r="G14" i="10" s="1"/>
  <c r="E37" i="10"/>
  <c r="E43" i="10"/>
  <c r="G43" i="10" s="1"/>
  <c r="E17" i="6"/>
  <c r="G17" i="6" s="1"/>
  <c r="E53" i="6"/>
  <c r="G53" i="6" s="1"/>
  <c r="E43" i="4"/>
  <c r="G43" i="4" s="1"/>
  <c r="E63" i="4"/>
  <c r="G63" i="4" s="1"/>
  <c r="E81" i="4"/>
  <c r="G81" i="4" s="1"/>
  <c r="E35" i="3"/>
  <c r="G35" i="3" s="1"/>
  <c r="E40" i="3"/>
  <c r="G40" i="3" s="1"/>
  <c r="E58" i="3"/>
  <c r="G58" i="3" s="1"/>
  <c r="E77" i="3"/>
  <c r="G77" i="3" s="1"/>
  <c r="E16" i="5"/>
  <c r="G16" i="5" s="1"/>
  <c r="E42" i="5"/>
  <c r="G42" i="5" s="1"/>
  <c r="E85" i="5"/>
  <c r="G85" i="5" s="1"/>
  <c r="E28" i="7"/>
  <c r="G28" i="7" s="1"/>
  <c r="E42" i="7"/>
  <c r="G42" i="7" s="1"/>
  <c r="E47" i="7"/>
  <c r="G47" i="7" s="1"/>
  <c r="E65" i="7"/>
  <c r="G65" i="7" s="1"/>
  <c r="E42" i="9"/>
  <c r="G42" i="9" s="1"/>
  <c r="E46" i="6"/>
  <c r="G46" i="6" s="1"/>
  <c r="E64" i="6"/>
  <c r="G64" i="6" s="1"/>
  <c r="E84" i="6"/>
  <c r="G84" i="6" s="1"/>
  <c r="E24" i="9"/>
  <c r="G24" i="9" s="1"/>
  <c r="E81" i="9"/>
  <c r="G81" i="9" s="1"/>
  <c r="E65" i="10"/>
  <c r="G65" i="10" s="1"/>
  <c r="E84" i="10"/>
  <c r="G84" i="10" s="1"/>
  <c r="E47" i="4"/>
  <c r="G47" i="4" s="1"/>
  <c r="E89" i="4"/>
  <c r="G89" i="4" s="1"/>
  <c r="E20" i="3"/>
  <c r="G20" i="3" s="1"/>
  <c r="E85" i="3"/>
  <c r="G85" i="3" s="1"/>
  <c r="E35" i="5"/>
  <c r="G35" i="5" s="1"/>
  <c r="E63" i="7"/>
  <c r="G63" i="7" s="1"/>
  <c r="E73" i="9"/>
  <c r="G73" i="9" s="1"/>
  <c r="E28" i="10"/>
  <c r="G28" i="10" s="1"/>
  <c r="E22" i="6"/>
  <c r="G22" i="6" s="1"/>
  <c r="E81" i="6"/>
  <c r="G81" i="6" s="1"/>
  <c r="E53" i="4"/>
  <c r="G53" i="4" s="1"/>
  <c r="E67" i="4"/>
  <c r="G67" i="4" s="1"/>
  <c r="E72" i="3"/>
  <c r="G72" i="3" s="1"/>
  <c r="E56" i="5"/>
  <c r="G56" i="5" s="1"/>
  <c r="E31" i="4"/>
  <c r="G31" i="4" s="1"/>
  <c r="E48" i="4"/>
  <c r="G48" i="4" s="1"/>
  <c r="E68" i="4"/>
  <c r="G68" i="4" s="1"/>
  <c r="E92" i="4"/>
  <c r="G92" i="4" s="1"/>
  <c r="E22" i="5"/>
  <c r="G22" i="5" s="1"/>
  <c r="E29" i="5"/>
  <c r="G29" i="5" s="1"/>
  <c r="E36" i="5"/>
  <c r="E48" i="5"/>
  <c r="G48" i="5" s="1"/>
  <c r="E21" i="7"/>
  <c r="G21" i="7" s="1"/>
  <c r="E36" i="7"/>
  <c r="E73" i="7"/>
  <c r="G73" i="7" s="1"/>
  <c r="E28" i="9"/>
  <c r="G28" i="9" s="1"/>
  <c r="E84" i="9"/>
  <c r="G84" i="9" s="1"/>
  <c r="E76" i="10"/>
  <c r="G76" i="10" s="1"/>
  <c r="E23" i="6"/>
  <c r="G23" i="6" s="1"/>
  <c r="E31" i="6"/>
  <c r="G31" i="6" s="1"/>
  <c r="E40" i="6"/>
  <c r="G40" i="6" s="1"/>
  <c r="E14" i="4"/>
  <c r="G14" i="4" s="1"/>
  <c r="E56" i="4"/>
  <c r="G56" i="4" s="1"/>
  <c r="E17" i="3"/>
  <c r="G17" i="3" s="1"/>
  <c r="E45" i="3"/>
  <c r="G45" i="3" s="1"/>
  <c r="E66" i="3"/>
  <c r="G66" i="3" s="1"/>
  <c r="E73" i="3"/>
  <c r="G73" i="3" s="1"/>
  <c r="E89" i="3"/>
  <c r="G89" i="3" s="1"/>
  <c r="E17" i="5"/>
  <c r="G17" i="5" s="1"/>
  <c r="E43" i="5"/>
  <c r="G43" i="5" s="1"/>
  <c r="E65" i="5"/>
  <c r="G65" i="5" s="1"/>
  <c r="E86" i="5"/>
  <c r="G86" i="5" s="1"/>
  <c r="E16" i="7"/>
  <c r="G16" i="7" s="1"/>
  <c r="E81" i="7"/>
  <c r="G81" i="7" s="1"/>
  <c r="E92" i="7"/>
  <c r="G92" i="7" s="1"/>
  <c r="E14" i="9"/>
  <c r="G14" i="9" s="1"/>
  <c r="E20" i="9"/>
  <c r="G20" i="9" s="1"/>
  <c r="E36" i="9"/>
  <c r="E75" i="9"/>
  <c r="G75" i="9" s="1"/>
  <c r="E44" i="10"/>
  <c r="G44" i="10" s="1"/>
  <c r="E67" i="10"/>
  <c r="G67" i="10" s="1"/>
  <c r="E47" i="6"/>
  <c r="G47" i="6" s="1"/>
  <c r="E74" i="6"/>
  <c r="G74" i="6" s="1"/>
  <c r="E39" i="4"/>
  <c r="G39" i="4" s="1"/>
  <c r="E64" i="4"/>
  <c r="G64" i="4" s="1"/>
  <c r="E75" i="4"/>
  <c r="G75" i="4" s="1"/>
  <c r="E29" i="3"/>
  <c r="G29" i="3" s="1"/>
  <c r="E58" i="5"/>
  <c r="G58" i="5" s="1"/>
  <c r="E72" i="5"/>
  <c r="G72" i="5" s="1"/>
  <c r="E77" i="5"/>
  <c r="G77" i="5" s="1"/>
  <c r="E59" i="9"/>
  <c r="G59" i="9" s="1"/>
  <c r="E67" i="9"/>
  <c r="G67" i="9" s="1"/>
  <c r="E30" i="10"/>
  <c r="G30" i="10" s="1"/>
  <c r="E59" i="10"/>
  <c r="G59" i="10" s="1"/>
  <c r="E77" i="10"/>
  <c r="G77" i="10" s="1"/>
  <c r="E18" i="6"/>
  <c r="G18" i="6" s="1"/>
  <c r="E66" i="6"/>
  <c r="G66" i="6" s="1"/>
  <c r="E27" i="4"/>
  <c r="G27" i="4" s="1"/>
  <c r="E44" i="4"/>
  <c r="G44" i="4" s="1"/>
  <c r="E36" i="3"/>
  <c r="E41" i="3"/>
  <c r="G41" i="3" s="1"/>
  <c r="E74" i="3"/>
  <c r="G74" i="3" s="1"/>
  <c r="E37" i="7"/>
  <c r="E43" i="7"/>
  <c r="G43" i="7" s="1"/>
  <c r="E66" i="7"/>
  <c r="G66" i="7" s="1"/>
  <c r="E39" i="10"/>
  <c r="G39" i="10" s="1"/>
  <c r="E50" i="10"/>
  <c r="G50" i="10" s="1"/>
  <c r="E75" i="6"/>
  <c r="G75" i="6" s="1"/>
  <c r="E32" i="4"/>
  <c r="G32" i="4" s="1"/>
  <c r="E49" i="4"/>
  <c r="G49" i="4" s="1"/>
  <c r="E69" i="4"/>
  <c r="G69" i="4" s="1"/>
  <c r="E13" i="3"/>
  <c r="G13" i="3" s="1"/>
  <c r="E67" i="3"/>
  <c r="G67" i="3" s="1"/>
  <c r="E81" i="3"/>
  <c r="G81" i="3" s="1"/>
  <c r="E23" i="5"/>
  <c r="G23" i="5" s="1"/>
  <c r="E44" i="5"/>
  <c r="G44" i="5" s="1"/>
  <c r="E49" i="5"/>
  <c r="G49" i="5" s="1"/>
  <c r="E17" i="7"/>
  <c r="G17" i="7" s="1"/>
  <c r="E22" i="7"/>
  <c r="G22" i="7" s="1"/>
  <c r="E49" i="7"/>
  <c r="G49" i="7" s="1"/>
  <c r="E15" i="9"/>
  <c r="G15" i="9" s="1"/>
  <c r="E17" i="10"/>
  <c r="G17" i="10" s="1"/>
  <c r="E23" i="10"/>
  <c r="G23" i="10" s="1"/>
  <c r="E13" i="6"/>
  <c r="G13" i="6" s="1"/>
  <c r="E86" i="6"/>
  <c r="G86" i="6" s="1"/>
  <c r="E30" i="5"/>
  <c r="G30" i="5" s="1"/>
  <c r="E53" i="5"/>
  <c r="G53" i="5" s="1"/>
  <c r="E24" i="7"/>
  <c r="G24" i="7" s="1"/>
  <c r="E56" i="7"/>
  <c r="G56" i="7" s="1"/>
  <c r="E69" i="7"/>
  <c r="G69" i="7" s="1"/>
  <c r="E22" i="9"/>
  <c r="G22" i="9" s="1"/>
  <c r="E86" i="9"/>
  <c r="G86" i="9" s="1"/>
  <c r="E62" i="10"/>
  <c r="G62" i="10" s="1"/>
  <c r="E56" i="6"/>
  <c r="G56" i="6" s="1"/>
  <c r="E65" i="6"/>
  <c r="G65" i="6" s="1"/>
  <c r="E72" i="6"/>
  <c r="G72" i="6" s="1"/>
  <c r="E80" i="6"/>
  <c r="G80" i="6" s="1"/>
  <c r="E15" i="4"/>
  <c r="G15" i="4" s="1"/>
  <c r="E24" i="4"/>
  <c r="G24" i="4" s="1"/>
  <c r="E76" i="4"/>
  <c r="G76" i="4" s="1"/>
  <c r="E84" i="4"/>
  <c r="G84" i="4" s="1"/>
  <c r="E16" i="3"/>
  <c r="G16" i="3" s="1"/>
  <c r="E27" i="3"/>
  <c r="G27" i="3" s="1"/>
  <c r="E47" i="3"/>
  <c r="G47" i="3" s="1"/>
  <c r="E62" i="3"/>
  <c r="G62" i="3" s="1"/>
  <c r="E86" i="3"/>
  <c r="G86" i="3" s="1"/>
  <c r="E19" i="5"/>
  <c r="G19" i="5" s="1"/>
  <c r="E47" i="5"/>
  <c r="G47" i="5" s="1"/>
  <c r="E67" i="5"/>
  <c r="G67" i="5" s="1"/>
  <c r="E80" i="5"/>
  <c r="G80" i="5" s="1"/>
  <c r="E15" i="7"/>
  <c r="G15" i="7" s="1"/>
  <c r="E48" i="7"/>
  <c r="G48" i="7" s="1"/>
  <c r="E76" i="7"/>
  <c r="G76" i="7" s="1"/>
  <c r="E37" i="9"/>
  <c r="E56" i="9"/>
  <c r="G56" i="9" s="1"/>
  <c r="E69" i="10"/>
  <c r="G69" i="10" s="1"/>
  <c r="E15" i="6"/>
  <c r="G15" i="6" s="1"/>
  <c r="E48" i="6"/>
  <c r="G48" i="6" s="1"/>
  <c r="E89" i="6"/>
  <c r="G89" i="6" s="1"/>
  <c r="E20" i="4"/>
  <c r="G20" i="4" s="1"/>
  <c r="E37" i="4"/>
  <c r="E42" i="4"/>
  <c r="G42" i="4" s="1"/>
  <c r="E72" i="4"/>
  <c r="G72" i="4" s="1"/>
  <c r="E21" i="3"/>
  <c r="G21" i="3" s="1"/>
  <c r="E43" i="3"/>
  <c r="G43" i="3" s="1"/>
  <c r="E53" i="3"/>
  <c r="G53" i="3" s="1"/>
  <c r="E80" i="3"/>
  <c r="G80" i="3" s="1"/>
  <c r="E24" i="5"/>
  <c r="G24" i="5" s="1"/>
  <c r="E63" i="5"/>
  <c r="G63" i="5" s="1"/>
  <c r="E89" i="5"/>
  <c r="G89" i="5" s="1"/>
  <c r="E39" i="7"/>
  <c r="G39" i="7" s="1"/>
  <c r="E85" i="7"/>
  <c r="G85" i="7" s="1"/>
  <c r="E17" i="9"/>
  <c r="G17" i="9" s="1"/>
  <c r="E43" i="9"/>
  <c r="G43" i="9" s="1"/>
  <c r="E48" i="9"/>
  <c r="G48" i="9" s="1"/>
  <c r="E72" i="9"/>
  <c r="G72" i="9" s="1"/>
  <c r="E89" i="9"/>
  <c r="G89" i="9" s="1"/>
  <c r="E22" i="10"/>
  <c r="G22" i="10" s="1"/>
  <c r="E29" i="10"/>
  <c r="G29" i="10" s="1"/>
  <c r="E36" i="10"/>
  <c r="E42" i="10"/>
  <c r="G42" i="10" s="1"/>
  <c r="E86" i="10"/>
  <c r="G86" i="10" s="1"/>
  <c r="E28" i="6"/>
  <c r="G28" i="6" s="1"/>
  <c r="E35" i="6"/>
  <c r="G35" i="6" s="1"/>
  <c r="E62" i="6"/>
  <c r="G62" i="6" s="1"/>
  <c r="E19" i="4"/>
  <c r="G19" i="4" s="1"/>
  <c r="E31" i="3"/>
  <c r="G31" i="3" s="1"/>
  <c r="E42" i="3"/>
  <c r="G42" i="3" s="1"/>
  <c r="E46" i="3"/>
  <c r="G46" i="3" s="1"/>
  <c r="E50" i="3"/>
  <c r="G50" i="3" s="1"/>
  <c r="E21" i="5"/>
  <c r="G21" i="5" s="1"/>
  <c r="E73" i="5"/>
  <c r="G73" i="5" s="1"/>
  <c r="E29" i="7"/>
  <c r="G29" i="7" s="1"/>
  <c r="E41" i="7"/>
  <c r="G41" i="7" s="1"/>
  <c r="E59" i="7"/>
  <c r="G59" i="7" s="1"/>
  <c r="E77" i="7"/>
  <c r="G77" i="7" s="1"/>
  <c r="E19" i="9"/>
  <c r="G19" i="9" s="1"/>
  <c r="E32" i="9"/>
  <c r="G32" i="9" s="1"/>
  <c r="E44" i="9"/>
  <c r="G44" i="9" s="1"/>
  <c r="E77" i="9"/>
  <c r="G77" i="9" s="1"/>
  <c r="E15" i="10"/>
  <c r="G15" i="10" s="1"/>
  <c r="E20" i="10"/>
  <c r="G20" i="10" s="1"/>
  <c r="E40" i="10"/>
  <c r="G40" i="10" s="1"/>
  <c r="E89" i="10"/>
  <c r="G89" i="10" s="1"/>
  <c r="E75" i="10"/>
  <c r="G75" i="10" s="1"/>
  <c r="E92" i="10"/>
  <c r="G92" i="10" s="1"/>
  <c r="E21" i="6"/>
  <c r="G21" i="6" s="1"/>
  <c r="E32" i="6"/>
  <c r="G32" i="6" s="1"/>
  <c r="E44" i="6"/>
  <c r="G44" i="6" s="1"/>
  <c r="E92" i="6"/>
  <c r="G92" i="6" s="1"/>
  <c r="E22" i="3"/>
  <c r="G22" i="3" s="1"/>
  <c r="E28" i="3"/>
  <c r="G28" i="3" s="1"/>
  <c r="E32" i="3"/>
  <c r="G32" i="3" s="1"/>
  <c r="E59" i="3"/>
  <c r="G59" i="3" s="1"/>
  <c r="E50" i="5"/>
  <c r="G50" i="5" s="1"/>
  <c r="E18" i="7"/>
  <c r="G18" i="7" s="1"/>
  <c r="E35" i="7"/>
  <c r="G35" i="7" s="1"/>
  <c r="E40" i="7"/>
  <c r="G40" i="7" s="1"/>
  <c r="E29" i="9"/>
  <c r="G29" i="9" s="1"/>
  <c r="E46" i="9"/>
  <c r="G46" i="9" s="1"/>
  <c r="E66" i="9"/>
  <c r="G66" i="9" s="1"/>
  <c r="E19" i="10"/>
  <c r="G19" i="10" s="1"/>
  <c r="E24" i="10"/>
  <c r="G24" i="10" s="1"/>
  <c r="E63" i="10"/>
  <c r="G63" i="10" s="1"/>
  <c r="E58" i="6"/>
  <c r="G58" i="6" s="1"/>
  <c r="E69" i="6"/>
  <c r="G69" i="6" s="1"/>
  <c r="E16" i="9"/>
  <c r="G16" i="9" s="1"/>
  <c r="E41" i="9"/>
  <c r="G41" i="9" s="1"/>
  <c r="E45" i="9"/>
  <c r="G45" i="9" s="1"/>
  <c r="E49" i="9"/>
  <c r="G49" i="9" s="1"/>
  <c r="E85" i="9"/>
  <c r="G85" i="9" s="1"/>
  <c r="E16" i="10"/>
  <c r="G16" i="10" s="1"/>
  <c r="E41" i="10"/>
  <c r="G41" i="10" s="1"/>
  <c r="E45" i="10"/>
  <c r="G45" i="10" s="1"/>
  <c r="E49" i="10"/>
  <c r="G49" i="10" s="1"/>
  <c r="E85" i="10"/>
  <c r="G85" i="10" s="1"/>
  <c r="E16" i="6"/>
  <c r="G16" i="6" s="1"/>
  <c r="E20" i="6"/>
  <c r="G20" i="6" s="1"/>
  <c r="E24" i="6"/>
  <c r="G24" i="6" s="1"/>
  <c r="E30" i="6"/>
  <c r="G30" i="6" s="1"/>
  <c r="E36" i="6"/>
  <c r="E63" i="6"/>
  <c r="G63" i="6" s="1"/>
  <c r="E67" i="6"/>
  <c r="G67" i="6" s="1"/>
  <c r="E73" i="6"/>
  <c r="G73" i="6" s="1"/>
  <c r="E77" i="6"/>
  <c r="G77" i="6" s="1"/>
  <c r="E37" i="5"/>
  <c r="E41" i="6"/>
  <c r="G41" i="6" s="1"/>
  <c r="E45" i="6"/>
  <c r="G45" i="6" s="1"/>
  <c r="E49" i="6"/>
  <c r="G49" i="6" s="1"/>
  <c r="E85" i="6"/>
  <c r="G85" i="6" s="1"/>
  <c r="E31" i="7"/>
  <c r="G31" i="7" s="1"/>
  <c r="E58" i="7"/>
  <c r="G58" i="7" s="1"/>
  <c r="E64" i="7"/>
  <c r="G64" i="7" s="1"/>
  <c r="E68" i="7"/>
  <c r="G68" i="7" s="1"/>
  <c r="E74" i="7"/>
  <c r="G74" i="7" s="1"/>
  <c r="E80" i="7"/>
  <c r="G80" i="7" s="1"/>
  <c r="E21" i="9"/>
  <c r="G21" i="9" s="1"/>
  <c r="E27" i="9"/>
  <c r="G27" i="9" s="1"/>
  <c r="E31" i="9"/>
  <c r="G31" i="9" s="1"/>
  <c r="E58" i="9"/>
  <c r="G58" i="9" s="1"/>
  <c r="E64" i="9"/>
  <c r="G64" i="9" s="1"/>
  <c r="E68" i="9"/>
  <c r="G68" i="9" s="1"/>
  <c r="E74" i="9"/>
  <c r="G74" i="9" s="1"/>
  <c r="E80" i="9"/>
  <c r="G80" i="9" s="1"/>
  <c r="E21" i="10"/>
  <c r="G21" i="10" s="1"/>
  <c r="E27" i="10"/>
  <c r="G27" i="10" s="1"/>
  <c r="E31" i="10"/>
  <c r="G31" i="10" s="1"/>
  <c r="E58" i="10"/>
  <c r="G58" i="10" s="1"/>
  <c r="E64" i="10"/>
  <c r="G64" i="10" s="1"/>
  <c r="E68" i="10"/>
  <c r="G68" i="10" s="1"/>
  <c r="E74" i="10"/>
  <c r="G74" i="10" s="1"/>
  <c r="E80" i="10"/>
  <c r="G80" i="10" s="1"/>
  <c r="E37" i="6"/>
  <c r="E38" i="4" l="1"/>
  <c r="G38" i="4" s="1"/>
  <c r="E38" i="5"/>
  <c r="G38" i="5" s="1"/>
  <c r="E38" i="6"/>
  <c r="G38" i="6" s="1"/>
  <c r="E38" i="7"/>
  <c r="G38" i="7" s="1"/>
  <c r="E38" i="9"/>
  <c r="G38" i="9" s="1"/>
  <c r="E38" i="10"/>
  <c r="G38" i="10" s="1"/>
  <c r="E38" i="3"/>
  <c r="G38" i="3" s="1"/>
  <c r="G95" i="4"/>
  <c r="G97" i="4"/>
  <c r="G99" i="4"/>
  <c r="G96" i="4"/>
  <c r="G98" i="4"/>
  <c r="G95" i="3"/>
  <c r="G97" i="3"/>
  <c r="G96" i="3"/>
  <c r="G98" i="3"/>
  <c r="G99" i="3"/>
  <c r="G95" i="5"/>
  <c r="G97" i="5"/>
  <c r="G98" i="5"/>
  <c r="G99" i="5"/>
  <c r="G96" i="5"/>
  <c r="G95" i="7"/>
  <c r="G98" i="7"/>
  <c r="G97" i="7"/>
  <c r="G96" i="7"/>
  <c r="G99" i="7"/>
  <c r="G95" i="9"/>
  <c r="G98" i="9"/>
  <c r="G96" i="9"/>
  <c r="G99" i="9"/>
  <c r="G97" i="9"/>
  <c r="G95" i="10"/>
  <c r="G97" i="10"/>
  <c r="G99" i="10"/>
  <c r="G98" i="10"/>
  <c r="G96" i="10"/>
  <c r="G95" i="6"/>
  <c r="G96" i="6"/>
  <c r="G97" i="6"/>
  <c r="G98" i="6"/>
  <c r="G9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<sst xmlns="http://schemas.openxmlformats.org/spreadsheetml/2006/main" count="3157" uniqueCount="276">
  <si>
    <t>Timeline:</t>
  </si>
  <si>
    <t>Engineering</t>
  </si>
  <si>
    <t xml:space="preserve">Model server: </t>
  </si>
  <si>
    <t>ProcessModel</t>
  </si>
  <si>
    <t>TAG in literature</t>
  </si>
  <si>
    <t>Value from Appendix A</t>
  </si>
  <si>
    <t>TAG in model</t>
  </si>
  <si>
    <t>SimulatedValue</t>
  </si>
  <si>
    <t>unit</t>
  </si>
  <si>
    <t>% deviation</t>
  </si>
  <si>
    <t>FLOW INTO ABSORBER</t>
  </si>
  <si>
    <t>FT06</t>
  </si>
  <si>
    <t>00FT001</t>
  </si>
  <si>
    <t>TV5</t>
  </si>
  <si>
    <t>degC</t>
  </si>
  <si>
    <t>ABSORBER</t>
  </si>
  <si>
    <t>TAB</t>
  </si>
  <si>
    <t>TA01</t>
  </si>
  <si>
    <t>00TA001</t>
  </si>
  <si>
    <t>TA02</t>
  </si>
  <si>
    <t>TA03</t>
  </si>
  <si>
    <t>TA04</t>
  </si>
  <si>
    <t>TA05</t>
  </si>
  <si>
    <t>TA06</t>
  </si>
  <si>
    <t>TA07</t>
  </si>
  <si>
    <t>TA08</t>
  </si>
  <si>
    <t>DESORBER</t>
  </si>
  <si>
    <t>REBOILER</t>
  </si>
  <si>
    <t>CONDENSER</t>
  </si>
  <si>
    <t>SETPOINTS SET IN MCL</t>
  </si>
  <si>
    <t>00FIC001</t>
  </si>
  <si>
    <t>m3/h</t>
  </si>
  <si>
    <t>00FC001</t>
  </si>
  <si>
    <t>kg/h</t>
  </si>
  <si>
    <t>Comment</t>
  </si>
  <si>
    <t>Gas Flow Rate</t>
  </si>
  <si>
    <t>Solvent Flow Rate Lean input</t>
  </si>
  <si>
    <t>Temperature Lean Solvent LeanMEA_inn</t>
  </si>
  <si>
    <t>02TIC002</t>
  </si>
  <si>
    <t>Reboiler Duty</t>
  </si>
  <si>
    <t>02QIC001</t>
  </si>
  <si>
    <t>kW</t>
  </si>
  <si>
    <t>Absorber Inlet CO2 Temperature</t>
  </si>
  <si>
    <t>mol/mol</t>
  </si>
  <si>
    <t>CO2 Loading Lean input</t>
  </si>
  <si>
    <t>Pressure in absorber</t>
  </si>
  <si>
    <t>00PIC002</t>
  </si>
  <si>
    <t>PI_100</t>
  </si>
  <si>
    <t>Pressure in reboiler</t>
  </si>
  <si>
    <t>04PIC001</t>
  </si>
  <si>
    <t>mbar</t>
  </si>
  <si>
    <t>barg</t>
  </si>
  <si>
    <t>EX03 cooling loop</t>
  </si>
  <si>
    <t>03TIC001</t>
  </si>
  <si>
    <t>EX04 cooling loop</t>
  </si>
  <si>
    <t>04TIC001</t>
  </si>
  <si>
    <t>CO2_IN</t>
  </si>
  <si>
    <t>CO2_OUT</t>
  </si>
  <si>
    <t>FT_100</t>
  </si>
  <si>
    <t>FT_101</t>
  </si>
  <si>
    <t>FT_EH</t>
  </si>
  <si>
    <t>FT_EM</t>
  </si>
  <si>
    <t>FT_VASK</t>
  </si>
  <si>
    <t>HE_04/05/06</t>
  </si>
  <si>
    <t>LT_01</t>
  </si>
  <si>
    <t>LT_02</t>
  </si>
  <si>
    <t>PI_102</t>
  </si>
  <si>
    <t>PI_103</t>
  </si>
  <si>
    <t>PT_02</t>
  </si>
  <si>
    <t>PT_04</t>
  </si>
  <si>
    <t>PT11</t>
  </si>
  <si>
    <t>QT_100</t>
  </si>
  <si>
    <t>QT_101</t>
  </si>
  <si>
    <t>TA00</t>
  </si>
  <si>
    <t>TI_01</t>
  </si>
  <si>
    <t>TI_03</t>
  </si>
  <si>
    <t>TI_04</t>
  </si>
  <si>
    <t>TI_05</t>
  </si>
  <si>
    <t>TI_06</t>
  </si>
  <si>
    <t>TI_07</t>
  </si>
  <si>
    <t>TI_08</t>
  </si>
  <si>
    <t>TI_09</t>
  </si>
  <si>
    <t>TI_11</t>
  </si>
  <si>
    <t>TI_15</t>
  </si>
  <si>
    <t>TS01</t>
  </si>
  <si>
    <t>TS02</t>
  </si>
  <si>
    <t>TS03</t>
  </si>
  <si>
    <t>TS04</t>
  </si>
  <si>
    <t>TS05</t>
  </si>
  <si>
    <t>TT_01</t>
  </si>
  <si>
    <t>TT_02</t>
  </si>
  <si>
    <t>TT_03</t>
  </si>
  <si>
    <t>TT103</t>
  </si>
  <si>
    <t>dry %</t>
  </si>
  <si>
    <t>L</t>
  </si>
  <si>
    <t>kg/l</t>
  </si>
  <si>
    <t>% CO2</t>
  </si>
  <si>
    <t>FLOW OUT OF ABSORBER</t>
  </si>
  <si>
    <t>Denne eksisterer ikke i K-Spice</t>
  </si>
  <si>
    <t>EX01</t>
  </si>
  <si>
    <t>EX03</t>
  </si>
  <si>
    <t>EX04</t>
  </si>
  <si>
    <t>UKJENT PLASSERING</t>
  </si>
  <si>
    <t>Antar dette er extra column (dp)</t>
  </si>
  <si>
    <t>PT11 + LT_01</t>
  </si>
  <si>
    <t>LAL_IN</t>
  </si>
  <si>
    <t>Data-tag in model</t>
  </si>
  <si>
    <t>LeanMEA_inn</t>
  </si>
  <si>
    <t>Temperature Lean Solvent LeanMEA_ut</t>
  </si>
  <si>
    <t>LeanAmineInput</t>
  </si>
  <si>
    <t>LeanAmineInput:OutletStream.t</t>
  </si>
  <si>
    <t>00FIC001:InternalSetpoint</t>
  </si>
  <si>
    <t>00FC001:InternalSetpoint</t>
  </si>
  <si>
    <t>LeanMEA_inn:InstructorTemperature</t>
  </si>
  <si>
    <t>LAL_IN:Output</t>
  </si>
  <si>
    <t>00PIC002:InternalSetpoint</t>
  </si>
  <si>
    <t>04PIC001:InternalSetpoint</t>
  </si>
  <si>
    <t>03TIC001:InternalSetpoint</t>
  </si>
  <si>
    <t>04TIC001:InternalSetpoint</t>
  </si>
  <si>
    <t>00FT001:MeasuredValue</t>
  </si>
  <si>
    <t>00FT003</t>
  </si>
  <si>
    <t>00FT003:MeasuredValue</t>
  </si>
  <si>
    <t>GasToAbsorber</t>
  </si>
  <si>
    <t>GasToAbsorber:OutputCompositionVector[4]</t>
  </si>
  <si>
    <t>CO2_OUT (Gas)</t>
  </si>
  <si>
    <t>CO2_OUT (In MEA)</t>
  </si>
  <si>
    <t>CO2 in gas form</t>
  </si>
  <si>
    <t>CO2 in MEA</t>
  </si>
  <si>
    <t>GasFromAbsorber</t>
  </si>
  <si>
    <t>GasFromAbsorber:OutputCompositionVector[4]</t>
  </si>
  <si>
    <t>GasFromAbsorber:OutputCompositionVector[2]</t>
  </si>
  <si>
    <t>00PI100</t>
  </si>
  <si>
    <t>00PI102</t>
  </si>
  <si>
    <t>00PI100:MeasuredValue</t>
  </si>
  <si>
    <t>00PI102:MeasuredValue</t>
  </si>
  <si>
    <t xml:space="preserve">TI_20 </t>
  </si>
  <si>
    <t>Finnes ikke i Appendix A</t>
  </si>
  <si>
    <t>00TA000</t>
  </si>
  <si>
    <t>00TA002</t>
  </si>
  <si>
    <t>00TA003</t>
  </si>
  <si>
    <t>00TA004</t>
  </si>
  <si>
    <t>00TA005</t>
  </si>
  <si>
    <t>00TA006</t>
  </si>
  <si>
    <t>00TA007</t>
  </si>
  <si>
    <t>00TI015</t>
  </si>
  <si>
    <t>00QIT001</t>
  </si>
  <si>
    <t>00TA000:MeasuredValue</t>
  </si>
  <si>
    <t>00TA001:MeasuredValue</t>
  </si>
  <si>
    <t>00TA002:MeasuredValue</t>
  </si>
  <si>
    <t>00TA003:MeasuredValue</t>
  </si>
  <si>
    <t>00TA004:MeasuredValue</t>
  </si>
  <si>
    <t>00TA005:MeasuredValue</t>
  </si>
  <si>
    <t>00TA006:MeasuredValue</t>
  </si>
  <si>
    <t>00TA007:MeasuredValue</t>
  </si>
  <si>
    <t>00TI015:MeasuredValue</t>
  </si>
  <si>
    <t>00QIT001:MeasuredValue</t>
  </si>
  <si>
    <t>00FT101</t>
  </si>
  <si>
    <t>00FT101:MeasuredValue</t>
  </si>
  <si>
    <t>00TI003</t>
  </si>
  <si>
    <t>00TI003:MeasuredValue</t>
  </si>
  <si>
    <t>00TI004:MeasuredValue</t>
  </si>
  <si>
    <t>00TI004</t>
  </si>
  <si>
    <t>01TS001</t>
  </si>
  <si>
    <t>01TS002</t>
  </si>
  <si>
    <t>01TS003</t>
  </si>
  <si>
    <t>01TS004</t>
  </si>
  <si>
    <t>01TS005</t>
  </si>
  <si>
    <t>01TI009</t>
  </si>
  <si>
    <t>01TI011</t>
  </si>
  <si>
    <t>01TS001:MeasuredValue</t>
  </si>
  <si>
    <t>01TS002:MeasuredValue</t>
  </si>
  <si>
    <t>01TS003:MeasuredValue</t>
  </si>
  <si>
    <t>01TS004:MeasuredValue</t>
  </si>
  <si>
    <t>01TS005:MeasuredValue</t>
  </si>
  <si>
    <t>01TI009:MeasuredValue</t>
  </si>
  <si>
    <t>01TI011:MeasuredValue</t>
  </si>
  <si>
    <t>04FT001</t>
  </si>
  <si>
    <t>02QI001</t>
  </si>
  <si>
    <t>02PI002</t>
  </si>
  <si>
    <t>04TI008</t>
  </si>
  <si>
    <t>02TI010</t>
  </si>
  <si>
    <t>04FT001:MeasuredValue</t>
  </si>
  <si>
    <t>02QI001:MeasuredValue</t>
  </si>
  <si>
    <t>02PI002:MeasuredValue</t>
  </si>
  <si>
    <t>04TI008:MeasuredValue</t>
  </si>
  <si>
    <t>02TI010:MeasuredValue</t>
  </si>
  <si>
    <t>04FT004</t>
  </si>
  <si>
    <t>04FT004:MeasuredValue</t>
  </si>
  <si>
    <t>01TT103</t>
  </si>
  <si>
    <t>02TI020</t>
  </si>
  <si>
    <t>01TI006</t>
  </si>
  <si>
    <t>01TT103:MeasuredValue</t>
  </si>
  <si>
    <t>02TI020:MeasuredValue</t>
  </si>
  <si>
    <t>01TI006:MeasuredValue</t>
  </si>
  <si>
    <t>03TT001</t>
  </si>
  <si>
    <t>04TT002</t>
  </si>
  <si>
    <t>03TT001:MeasuredValue</t>
  </si>
  <si>
    <t>04TT002:MeasuredValue</t>
  </si>
  <si>
    <t>Fargevisning:</t>
  </si>
  <si>
    <t>Grønn:</t>
  </si>
  <si>
    <t>Gul:</t>
  </si>
  <si>
    <t>Rød:</t>
  </si>
  <si>
    <t xml:space="preserve"> </t>
  </si>
  <si>
    <t>Enhet</t>
  </si>
  <si>
    <t>m³/h</t>
  </si>
  <si>
    <t>°C</t>
  </si>
  <si>
    <t>TI10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</si>
  <si>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</si>
  <si>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</si>
  <si>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</si>
  <si>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</si>
  <si>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</si>
  <si>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</si>
  <si>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</si>
  <si>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</si>
  <si>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Test</t>
  </si>
  <si>
    <t>Case:</t>
  </si>
  <si>
    <t>l</t>
  </si>
  <si>
    <t>mbara</t>
  </si>
  <si>
    <t>02QIC001:InternalSetpoint</t>
  </si>
  <si>
    <t>02TIC002:InternalSetpoint</t>
  </si>
  <si>
    <t>02TT002</t>
  </si>
  <si>
    <t>02TT002:MeasuredValue</t>
  </si>
  <si>
    <t>04PT004</t>
  </si>
  <si>
    <t>04PT004:MeasuredValue</t>
  </si>
  <si>
    <t>02QIT001:MeasuredValue</t>
  </si>
  <si>
    <t>02QIT001</t>
  </si>
  <si>
    <t>01TI007</t>
  </si>
  <si>
    <t>01TI007:MeasuredValue</t>
  </si>
  <si>
    <t>%</t>
  </si>
  <si>
    <t>Combined CO2 % in treated gas</t>
  </si>
  <si>
    <t>00TIC000</t>
  </si>
  <si>
    <t>00TIC000:InternalSetpoint</t>
  </si>
  <si>
    <t>00TAB000</t>
  </si>
  <si>
    <t>00TAB000:MeasuredValue</t>
  </si>
  <si>
    <t>00PIC001:InternalSetpoint</t>
  </si>
  <si>
    <t>00PT001</t>
  </si>
  <si>
    <t>00PT001:MeasuredValue</t>
  </si>
  <si>
    <t>00PIC001</t>
  </si>
  <si>
    <t>Pressure of flue gas boundry</t>
  </si>
  <si>
    <t>Lik TV5? Det er samme transpimmer i K-spice</t>
  </si>
  <si>
    <t>Absorber drum i K-spice = PT11 + LT_01</t>
  </si>
  <si>
    <t>Absorber-høyder</t>
  </si>
  <si>
    <t>98000.000000</t>
  </si>
  <si>
    <t>0.050000</t>
  </si>
  <si>
    <t>97000.000000</t>
  </si>
  <si>
    <t>0.100000</t>
  </si>
  <si>
    <t>96000.000000</t>
  </si>
  <si>
    <t>0.250000</t>
  </si>
  <si>
    <t>94000.000000</t>
  </si>
  <si>
    <t>0.500000</t>
  </si>
  <si>
    <t>93000.000000</t>
  </si>
  <si>
    <t>0.620000</t>
  </si>
  <si>
    <t>92000.000000</t>
  </si>
  <si>
    <t>0.750000</t>
  </si>
  <si>
    <t>91500.000000</t>
  </si>
  <si>
    <t>1.000000</t>
  </si>
  <si>
    <t>90000.000000</t>
  </si>
  <si>
    <t>1.350000</t>
  </si>
  <si>
    <t>88000.000000</t>
  </si>
  <si>
    <t>99000.000000</t>
  </si>
  <si>
    <t>95000.000000</t>
  </si>
  <si>
    <t>93200.000000</t>
  </si>
  <si>
    <t>92250.000000</t>
  </si>
  <si>
    <t>90500.000000</t>
  </si>
  <si>
    <t>100000.000000</t>
  </si>
  <si>
    <t>91000.000000</t>
  </si>
  <si>
    <t>101000.000000</t>
  </si>
  <si>
    <t>93750.000000</t>
  </si>
  <si>
    <t>102000.000000</t>
  </si>
  <si>
    <t>94500.000000</t>
  </si>
  <si>
    <t>103000.000000</t>
  </si>
  <si>
    <t>95500.000000</t>
  </si>
  <si>
    <t/>
  </si>
  <si>
    <t>Status:ItemUnknown</t>
  </si>
  <si>
    <t>Stripper høyder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</si>
</sst>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242424"/>
      <name val="Consolas"/>
      <charset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2" borderId="0" xfId="0" applyFont="1" applyFill="1"/>
    <xf numFmtId="0" fontId="3" fillId="3" borderId="0" xfId="0" applyFont="1" applyFill="1"/>
    <xf numFmtId="0" fontId="0" fillId="3" borderId="0" xfId="0" applyFill="1"/>
    <xf numFmtId="0" fontId="5" fillId="3" borderId="0" xfId="0" applyFont="1" applyFill="1"/>
    <xf numFmtId="2" fontId="0" fillId="0" borderId="0" xfId="0" applyNumberFormat="1"/>
    <xf numFmtId="0" fontId="4" fillId="0" borderId="0" xfId="0" applyFont="1"/>
  </cellXfs>
  <cellStyles count="1">
    <cellStyle name="Normal" xfId="0" builtinId="0"/>
  </cellStyles>
  <dxfs count="27"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</dxfs>
  <tableStyles count="0" defaultTableStyle="TableStyleMedium2" defaultPivotStyle="PivotStyleMedium9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265127e13e5d47688f6c1e5aa1749e5e">
      <tp>
        <v>1</v>
        <stp/>
        <stp>73d3d1a6-64cb-4b3a-840f-59e1d1dbd5e6</stp>
        <tr r="E35" s="7"/>
        <tr r="E35" s="4"/>
        <tr r="E35" s="3"/>
        <tr r="E35" s="10"/>
        <tr r="E35" s="6"/>
        <tr r="E35" s="9"/>
        <tr r="E35" s="5"/>
        <tr r="E35" s="8"/>
      </tp>
    </main>
    <main first="rtdsrv.265127e13e5d47688f6c1e5aa1749e5e">
      <tp>
        <v>1</v>
        <stp/>
        <stp>d938d781-b4b0-46a2-b277-f2593a6c5bf4</stp>
        <tr r="E45" s="6"/>
        <tr r="E45" s="9"/>
        <tr r="E45" s="3"/>
        <tr r="E45" s="10"/>
        <tr r="E45" s="7"/>
        <tr r="E45" s="8"/>
        <tr r="E45" s="5"/>
        <tr r="E45" s="4"/>
      </tp>
    </main>
    <main first="rtdsrv.265127e13e5d47688f6c1e5aa1749e5e">
      <tp>
        <v>1</v>
        <stp/>
        <stp>914bb3a8-998d-47f6-9ac9-0095a4ccb3e0</stp>
        <tr r="E23" s="7"/>
        <tr r="E23" s="10"/>
        <tr r="E23" s="6"/>
        <tr r="E23" s="3"/>
        <tr r="E23" s="9"/>
        <tr r="E23" s="4"/>
        <tr r="E23" s="5"/>
        <tr r="E23" s="8"/>
      </tp>
    </main>
    <main first="rtdsrv.265127e13e5d47688f6c1e5aa1749e5e">
      <tp>
        <v>1</v>
        <stp/>
        <stp>e6148e88-92e2-469e-a19d-8a510712198e</stp>
        <tr r="E42" s="5"/>
        <tr r="E42" s="6"/>
        <tr r="E42" s="4"/>
        <tr r="E42" s="7"/>
        <tr r="E42" s="10"/>
        <tr r="E42" s="3"/>
        <tr r="E42" s="9"/>
        <tr r="E42" s="8"/>
      </tp>
      <tp>
        <v>1</v>
        <stp/>
        <stp>4973a2f5-6d26-4a1d-8d07-4c3f2be7a10c</stp>
        <tr r="E56" s="10"/>
        <tr r="E56" s="8"/>
        <tr r="E56" s="9"/>
        <tr r="E56" s="4"/>
        <tr r="E56" s="7"/>
        <tr r="E56" s="5"/>
        <tr r="E56" s="6"/>
        <tr r="E56" s="3"/>
      </tp>
    </main>
    <main first="rtdsrv.265127e13e5d47688f6c1e5aa1749e5e">
      <tp>
        <v>1</v>
        <stp/>
        <stp>1528dada-a48c-490b-b630-e29e34b699cd</stp>
        <tr r="E66" s="6"/>
        <tr r="E66" s="5"/>
        <tr r="E66" s="7"/>
        <tr r="E66" s="8"/>
        <tr r="E66" s="3"/>
        <tr r="E66" s="4"/>
        <tr r="E66" s="10"/>
        <tr r="E66" s="9"/>
      </tp>
      <tp>
        <v>1</v>
        <stp/>
        <stp>6b85f9e0-37f3-43db-a8ef-6729f21661a2</stp>
        <tr r="E99" s="3"/>
        <tr r="E98" s="5"/>
        <tr r="E99" s="8"/>
        <tr r="E99" s="5"/>
        <tr r="E99" s="10"/>
        <tr r="E98" s="6"/>
        <tr r="E99" s="7"/>
        <tr r="E98" s="9"/>
        <tr r="E98" s="7"/>
        <tr r="E98" s="8"/>
        <tr r="E99" s="9"/>
        <tr r="E98" s="3"/>
        <tr r="E99" s="6"/>
        <tr r="E98" s="10"/>
        <tr r="E98" s="4"/>
        <tr r="E99" s="4"/>
      </tp>
    </main>
    <main first="rtdsrv.265127e13e5d47688f6c1e5aa1749e5e">
      <tp>
        <v>1</v>
        <stp/>
        <stp>38b95e5c-e50a-415b-a7f0-65d903079d01</stp>
        <tr r="E18" s="10"/>
        <tr r="E18" s="5"/>
        <tr r="E18" s="7"/>
        <tr r="E18" s="9"/>
        <tr r="E18" s="4"/>
        <tr r="E18" s="3"/>
        <tr r="E18" s="6"/>
        <tr r="E18" s="8"/>
      </tp>
    </main>
    <main first="rtdsrv.265127e13e5d47688f6c1e5aa1749e5e">
      <tp>
        <v>1</v>
        <stp/>
        <stp>fe49f11d-0bb7-4974-a086-40b40cedfe23</stp>
        <tr r="E74" s="7"/>
        <tr r="E74" s="3"/>
        <tr r="E74" s="9"/>
        <tr r="E74" s="5"/>
        <tr r="E74" s="6"/>
        <tr r="E74" s="8"/>
        <tr r="E74" s="4"/>
        <tr r="E74" s="10"/>
      </tp>
    </main>
    <main first="rtdsrv.265127e13e5d47688f6c1e5aa1749e5e">
      <tp>
        <v>1</v>
        <stp/>
        <stp>10ff2bdf-fa4a-4e24-bb16-8f98893eb159</stp>
        <tr r="E28" s="6"/>
        <tr r="E28" s="4"/>
        <tr r="E28" s="10"/>
        <tr r="E28" s="7"/>
        <tr r="E28" s="3"/>
        <tr r="E28" s="9"/>
        <tr r="E28" s="5"/>
        <tr r="E28" s="8"/>
      </tp>
      <tp>
        <v>1</v>
        <stp/>
        <stp>ecfaf55c-05e9-4cde-bf22-d42a3c825901</stp>
        <tr r="E20" s="3"/>
        <tr r="E20" s="6"/>
        <tr r="E20" s="7"/>
        <tr r="E20" s="5"/>
        <tr r="E20" s="4"/>
        <tr r="E20" s="9"/>
        <tr r="E20" s="10"/>
        <tr r="E20" s="8"/>
      </tp>
      <tp>
        <v>1</v>
        <stp/>
        <stp>a1afc3b8-cdcc-4729-a0d1-30ba4be2b144</stp>
        <tr r="E15" s="4"/>
        <tr r="E15" s="7"/>
        <tr r="E15" s="9"/>
        <tr r="E15" s="10"/>
        <tr r="E15" s="6"/>
        <tr r="E15" s="5"/>
        <tr r="E15" s="3"/>
        <tr r="E15" s="8"/>
      </tp>
    </main>
    <main first="rtdsrv.265127e13e5d47688f6c1e5aa1749e5e">
      <tp>
        <v>1</v>
        <stp/>
        <stp>ac246561-a4e1-4e2c-8b6d-04904c1fed2d</stp>
        <tr r="E95" s="7"/>
        <tr r="E95" s="9"/>
        <tr r="E95" s="6"/>
        <tr r="E95" s="3"/>
        <tr r="E95" s="4"/>
        <tr r="E95" s="8"/>
        <tr r="E95" s="10"/>
        <tr r="E95" s="5"/>
      </tp>
      <tp>
        <v>1</v>
        <stp/>
        <stp>59b6a482-6683-42a8-84ce-9a8e5e5b568e</stp>
        <tr r="E13" s="6"/>
        <tr r="E13" s="3"/>
        <tr r="E13" s="4"/>
        <tr r="E13" s="5"/>
        <tr r="E13" s="7"/>
        <tr r="E13" s="9"/>
        <tr r="E13" s="10"/>
        <tr r="E13" s="8"/>
      </tp>
      <tp>
        <v>1</v>
        <stp/>
        <stp>ccd6a476-f306-4b54-9c22-960baa3c52b4</stp>
        <tr r="E31" s="9"/>
        <tr r="E31" s="4"/>
        <tr r="E31" s="3"/>
        <tr r="E31" s="7"/>
        <tr r="E31" s="5"/>
        <tr r="E31" s="10"/>
        <tr r="E31" s="6"/>
        <tr r="E31" s="8"/>
      </tp>
    </main>
    <main first="rtdsrv.265127e13e5d47688f6c1e5aa1749e5e">
      <tp>
        <v>1</v>
        <stp/>
        <stp>8577e074-1c77-478b-b5e1-7508259e4a6f</stp>
        <tr r="E19" s="4"/>
        <tr r="E19" s="3"/>
        <tr r="E19" s="7"/>
        <tr r="E19" s="9"/>
        <tr r="E19" s="6"/>
        <tr r="E19" s="10"/>
        <tr r="E19" s="5"/>
        <tr r="E19" s="8"/>
      </tp>
    </main>
    <main first="rtdsrv.265127e13e5d47688f6c1e5aa1749e5e">
      <tp>
        <v>1</v>
        <stp/>
        <stp>b67695ce-b73c-4118-a8cf-c5f378d84c57</stp>
        <tr r="E84" s="10"/>
        <tr r="E84" s="8"/>
        <tr r="E84" s="3"/>
        <tr r="E84" s="4"/>
        <tr r="E84" s="6"/>
        <tr r="E84" s="7"/>
        <tr r="E84" s="5"/>
        <tr r="E84" s="9"/>
      </tp>
    </main>
    <main first="rtdsrv.265127e13e5d47688f6c1e5aa1749e5e">
      <tp>
        <v>1</v>
        <stp/>
        <stp>e7633b19-fa7b-45f3-90fa-8366f26c83e6</stp>
        <tr r="E22" s="9"/>
        <tr r="E22" s="4"/>
        <tr r="E22" s="3"/>
        <tr r="E22" s="5"/>
        <tr r="E22" s="6"/>
        <tr r="E22" s="10"/>
        <tr r="E22" s="7"/>
        <tr r="E22" s="8"/>
      </tp>
      <tp>
        <v>1</v>
        <stp/>
        <stp>457c2d2e-0256-4457-bff8-74aed414fe00</stp>
        <tr r="E72" s="7"/>
        <tr r="E72" s="6"/>
        <tr r="E72" s="4"/>
        <tr r="E72" s="5"/>
        <tr r="E72" s="3"/>
        <tr r="E72" s="10"/>
        <tr r="E72" s="8"/>
        <tr r="E72" s="9"/>
      </tp>
    </main>
    <main first="rtdsrv.265127e13e5d47688f6c1e5aa1749e5e">
      <tp>
        <v>1</v>
        <stp/>
        <stp>0015cd35-dff4-40d4-810a-62826299bb26</stp>
        <tr r="E30" s="9"/>
        <tr r="E30" s="10"/>
        <tr r="E30" s="4"/>
        <tr r="E30" s="5"/>
        <tr r="E30" s="3"/>
        <tr r="E30" s="6"/>
        <tr r="E30" s="7"/>
        <tr r="E30" s="8"/>
      </tp>
    </main>
    <main first="rtdsrv.265127e13e5d47688f6c1e5aa1749e5e">
      <tp>
        <v>1</v>
        <stp/>
        <stp>10e3baef-f162-438c-ad2c-46ebdb134dac</stp>
        <tr r="E67" s="3"/>
        <tr r="E67" s="7"/>
        <tr r="E67" s="5"/>
        <tr r="E67" s="6"/>
        <tr r="E67" s="9"/>
        <tr r="E67" s="8"/>
        <tr r="E67" s="4"/>
        <tr r="E67" s="10"/>
      </tp>
    </main>
    <main first="rtdsrv.265127e13e5d47688f6c1e5aa1749e5e">
      <tp>
        <v>1</v>
        <stp/>
        <stp>78ec20ab-5ebe-4808-bb48-3bd37665026f</stp>
        <tr r="E39" s="10"/>
        <tr r="E39" s="5"/>
        <tr r="E39" s="3"/>
        <tr r="E39" s="7"/>
        <tr r="E39" s="9"/>
        <tr r="E39" s="6"/>
        <tr r="E39" s="4"/>
        <tr r="E39" s="8"/>
      </tp>
    </main>
    <main first="rtdsrv.265127e13e5d47688f6c1e5aa1749e5e">
      <tp>
        <v>1</v>
        <stp/>
        <stp>919a57db-905f-440d-8e27-5042ef5817ba</stp>
        <tr r="E53" s="5"/>
        <tr r="E53" s="10"/>
        <tr r="E53" s="7"/>
        <tr r="E53" s="3"/>
        <tr r="E53" s="4"/>
        <tr r="E53" s="6"/>
        <tr r="E53" s="9"/>
        <tr r="E53" s="8"/>
      </tp>
    </main>
    <main first="rtdsrv.265127e13e5d47688f6c1e5aa1749e5e">
      <tp>
        <v>1</v>
        <stp/>
        <stp>d2a7b617-e7dc-40a7-926a-cedfc6a9990b</stp>
        <tr r="E92" s="7"/>
        <tr r="E92" s="8"/>
        <tr r="E92" s="5"/>
        <tr r="E92" s="10"/>
        <tr r="E92" s="9"/>
        <tr r="E92" s="4"/>
        <tr r="E92" s="6"/>
        <tr r="E92" s="3"/>
      </tp>
    </main>
    <main first="rtdsrv.265127e13e5d47688f6c1e5aa1749e5e">
      <tp>
        <v>1</v>
        <stp/>
        <stp>0456e8a3-6ac4-4714-8ed0-51ec7f34d72c</stp>
        <tr r="E17" s="4"/>
        <tr r="E17" s="5"/>
        <tr r="E17" s="3"/>
        <tr r="E17" s="10"/>
        <tr r="E17" s="7"/>
        <tr r="E17" s="9"/>
        <tr r="E17" s="6"/>
        <tr r="E17" s="8"/>
      </tp>
      <tp>
        <v>1</v>
        <stp/>
        <stp>bd99dc9f-832d-4634-9bdd-a4508475ee2a</stp>
        <tr r="E85" s="8"/>
        <tr r="E85" s="3"/>
        <tr r="E85" s="4"/>
        <tr r="E85" s="5"/>
        <tr r="E85" s="10"/>
        <tr r="E85" s="6"/>
        <tr r="E85" s="7"/>
        <tr r="E85" s="9"/>
      </tp>
      <tp>
        <v>1</v>
        <stp/>
        <stp>d4ecbc18-40a2-4b08-80f7-67cce7c0e6ad</stp>
        <tr r="E73" s="10"/>
        <tr r="E73" s="7"/>
        <tr r="E73" s="4"/>
        <tr r="E73" s="9"/>
        <tr r="E73" s="5"/>
        <tr r="E73" s="6"/>
        <tr r="E73" s="8"/>
        <tr r="E73" s="3"/>
      </tp>
      <tp>
        <v>1</v>
        <stp/>
        <stp>928ba2a8-37b5-4b78-8c37-e28ef49ef50e</stp>
        <tr r="E62" s="3"/>
        <tr r="E62" s="10"/>
        <tr r="E62" s="7"/>
        <tr r="E62" s="4"/>
        <tr r="E62" s="9"/>
        <tr r="E62" s="5"/>
        <tr r="E62" s="8"/>
        <tr r="E62" s="6"/>
      </tp>
      <tp>
        <v>1</v>
        <stp/>
        <stp>1dd45a28-b0a2-45e2-9962-46428f1b282b</stp>
        <tr r="E59" s="9"/>
        <tr r="E59" s="4"/>
        <tr r="E59" s="3"/>
        <tr r="E59" s="7"/>
        <tr r="E59" s="6"/>
        <tr r="E59" s="8"/>
        <tr r="E59" s="5"/>
        <tr r="E59" s="10"/>
      </tp>
      <tp>
        <v>1</v>
        <stp/>
        <stp>f40f3a19-c27d-4b2b-a96d-d1333a5c6947</stp>
        <tr r="E50" s="3"/>
        <tr r="E50" s="10"/>
        <tr r="E50" s="5"/>
        <tr r="E50" s="6"/>
        <tr r="E50" s="7"/>
        <tr r="E50" s="4"/>
        <tr r="E50" s="9"/>
        <tr r="E50" s="8"/>
      </tp>
    </main>
    <main first="rtdsrv.265127e13e5d47688f6c1e5aa1749e5e">
      <tp>
        <v>1</v>
        <stp/>
        <stp>1e55cba3-e96a-4c65-8d70-c06f583c2d15</stp>
        <tr r="E80" s="7"/>
        <tr r="E80" s="4"/>
        <tr r="E80" s="5"/>
        <tr r="E80" s="10"/>
        <tr r="E80" s="3"/>
        <tr r="E80" s="9"/>
        <tr r="E80" s="6"/>
        <tr r="E80" s="8"/>
      </tp>
      <tp>
        <v>1</v>
        <stp/>
        <stp>fe63a9ff-6850-40cd-9adc-cf33ce5a9ee4</stp>
        <tr r="E37" s="5"/>
        <tr r="E37" s="3"/>
        <tr r="E37" s="9"/>
        <tr r="E37" s="4"/>
        <tr r="E37" s="10"/>
        <tr r="E37" s="7"/>
        <tr r="E37" s="6"/>
        <tr r="E37" s="8"/>
      </tp>
      <tp>
        <v>1</v>
        <stp/>
        <stp>12a46d05-54f0-4b9b-8c17-c8c6f1c26564</stp>
        <tr r="E32" s="3"/>
        <tr r="E32" s="10"/>
        <tr r="E32" s="4"/>
        <tr r="E32" s="7"/>
        <tr r="E32" s="6"/>
        <tr r="E32" s="5"/>
        <tr r="E32" s="9"/>
        <tr r="E32" s="8"/>
      </tp>
      <tp>
        <v>1</v>
        <stp/>
        <stp>2488d2ea-b8de-4b8b-abbc-ad9904663935</stp>
        <tr r="E46" s="7"/>
        <tr r="E46" s="4"/>
        <tr r="E46" s="9"/>
        <tr r="E46" s="10"/>
        <tr r="E46" s="8"/>
        <tr r="E46" s="5"/>
        <tr r="E46" s="6"/>
        <tr r="E46" s="3"/>
      </tp>
      <tp>
        <v>1</v>
        <stp/>
        <stp>36cca6d6-3e67-43c9-9ed5-4a4eb307e1c7</stp>
        <tr r="E16" s="9"/>
        <tr r="E16" s="3"/>
        <tr r="E16" s="10"/>
        <tr r="E16" s="5"/>
        <tr r="E16" s="6"/>
        <tr r="E16" s="7"/>
        <tr r="E16" s="4"/>
        <tr r="E16" s="8"/>
      </tp>
      <tp>
        <v>1</v>
        <stp/>
        <stp>9f288cf3-0066-45cf-8f3e-5bc718c9f715</stp>
        <tr r="E86" s="3"/>
        <tr r="E86" s="7"/>
        <tr r="E86" s="8"/>
        <tr r="E86" s="6"/>
        <tr r="E86" s="9"/>
        <tr r="E86" s="10"/>
        <tr r="E86" s="4"/>
        <tr r="E86" s="5"/>
      </tp>
      <tp>
        <v>1</v>
        <stp/>
        <stp>1697bedc-c2fd-4532-919f-fa5ff4dc7c2b</stp>
        <tr r="E48" s="7"/>
        <tr r="E48" s="4"/>
        <tr r="E48" s="10"/>
        <tr r="E48" s="8"/>
        <tr r="E48" s="5"/>
        <tr r="E48" s="9"/>
        <tr r="E48" s="6"/>
        <tr r="E48" s="3"/>
      </tp>
      <tp>
        <v>1</v>
        <stp/>
        <stp>f717bed0-3db0-4dc9-b829-c44ec766bdb6</stp>
        <tr r="E36" s="10"/>
        <tr r="E36" s="5"/>
        <tr r="E36" s="4"/>
        <tr r="E36" s="3"/>
        <tr r="E36" s="7"/>
        <tr r="E36" s="9"/>
        <tr r="E36" s="6"/>
        <tr r="E36" s="8"/>
      </tp>
      <tp>
        <v>1</v>
        <stp/>
        <stp>789f9b4e-d0d0-423e-b8ce-11770e738b38</stp>
        <tr r="E68" s="4"/>
        <tr r="E68" s="7"/>
        <tr r="E68" s="8"/>
        <tr r="E68" s="3"/>
        <tr r="E68" s="5"/>
        <tr r="E68" s="6"/>
        <tr r="E68" s="10"/>
        <tr r="E68" s="9"/>
      </tp>
      <tp>
        <v>1</v>
        <stp/>
        <stp>fd671926-5ac2-4224-a0e4-06bb4d179eb9</stp>
        <tr r="E69" s="4"/>
        <tr r="E69" s="7"/>
        <tr r="E69" s="10"/>
        <tr r="E69" s="6"/>
        <tr r="E69" s="3"/>
        <tr r="E69" s="8"/>
        <tr r="E69" s="5"/>
        <tr r="E69" s="9"/>
      </tp>
      <tp>
        <v>1</v>
        <stp/>
        <stp>57e99439-8ab8-4c04-88e1-55b6137abb6d</stp>
        <tr r="E44" s="4"/>
        <tr r="E44" s="9"/>
        <tr r="E44" s="7"/>
        <tr r="E44" s="3"/>
        <tr r="E44" s="8"/>
        <tr r="E44" s="10"/>
        <tr r="E44" s="6"/>
        <tr r="E44" s="5"/>
      </tp>
    </main>
    <main first="rtdsrv.265127e13e5d47688f6c1e5aa1749e5e">
      <tp>
        <v>1</v>
        <stp/>
        <stp>834e52ee-54e3-45e6-9cdd-af363733e9ea</stp>
        <tr r="E41" s="4"/>
        <tr r="E41" s="9"/>
        <tr r="E41" s="3"/>
        <tr r="E41" s="7"/>
        <tr r="E41" s="10"/>
        <tr r="E41" s="6"/>
        <tr r="E29" s="5"/>
        <tr r="E29" s="7"/>
        <tr r="E29" s="3"/>
        <tr r="E41" s="5"/>
        <tr r="E41" s="8"/>
        <tr r="E29" s="6"/>
        <tr r="E29" s="4"/>
        <tr r="E29" s="9"/>
        <tr r="E29" s="10"/>
        <tr r="E29" s="8"/>
      </tp>
    </main>
    <main first="rtdsrv.265127e13e5d47688f6c1e5aa1749e5e">
      <tp>
        <v>1</v>
        <stp/>
        <stp>9f024abc-5e0a-4d1b-adc1-2cec239fcc11</stp>
        <tr r="E76" s="4"/>
        <tr r="E76" s="8"/>
        <tr r="E76" s="5"/>
        <tr r="E76" s="10"/>
        <tr r="E76" s="9"/>
        <tr r="E76" s="7"/>
        <tr r="E76" s="3"/>
        <tr r="E76" s="6"/>
      </tp>
      <tp>
        <v>1</v>
        <stp/>
        <stp>bd225f8c-d079-4b34-952b-70301d1ec40b</stp>
        <tr r="E63" s="6"/>
        <tr r="E63" s="5"/>
        <tr r="E63" s="8"/>
        <tr r="E63" s="4"/>
        <tr r="E63" s="9"/>
        <tr r="E63" s="7"/>
        <tr r="E63" s="10"/>
        <tr r="E63" s="3"/>
      </tp>
      <tp>
        <v>1</v>
        <stp/>
        <stp>f162864f-02ef-423c-babf-3560cc111a8c</stp>
        <tr r="E47" s="3"/>
        <tr r="E47" s="8"/>
        <tr r="E47" s="9"/>
        <tr r="E47" s="6"/>
        <tr r="E47" s="5"/>
        <tr r="E47" s="4"/>
        <tr r="E47" s="10"/>
        <tr r="E47" s="7"/>
      </tp>
    </main>
    <main first="rtdsrv.265127e13e5d47688f6c1e5aa1749e5e">
      <tp>
        <v>1</v>
        <stp/>
        <stp>7062500d-8e82-419e-94ef-795993717056</stp>
        <tr r="E27" s="4"/>
        <tr r="E27" s="5"/>
        <tr r="E27" s="6"/>
        <tr r="E27" s="3"/>
        <tr r="E27" s="9"/>
        <tr r="E27" s="7"/>
        <tr r="E27" s="10"/>
        <tr r="E27" s="8"/>
      </tp>
    </main>
    <main first="rtdsrv.265127e13e5d47688f6c1e5aa1749e5e">
      <tp>
        <v>1</v>
        <stp/>
        <stp>9e3644b9-0d2a-4d16-9fe8-0bc6c164bb34</stp>
        <tr r="E58" s="8"/>
        <tr r="E58" s="4"/>
        <tr r="E58" s="3"/>
        <tr r="E58" s="6"/>
        <tr r="E58" s="10"/>
        <tr r="E58" s="5"/>
        <tr r="E58" s="9"/>
        <tr r="E58" s="7"/>
      </tp>
      <tp>
        <v>1</v>
        <stp/>
        <stp>0488d614-e9db-4285-9f67-358b346a2a00</stp>
        <tr r="E43" s="9"/>
        <tr r="E43" s="8"/>
        <tr r="E43" s="5"/>
        <tr r="E43" s="10"/>
        <tr r="E43" s="7"/>
        <tr r="E43" s="4"/>
        <tr r="E43" s="3"/>
        <tr r="E43" s="6"/>
      </tp>
    </main>
    <main first="rtdsrv.265127e13e5d47688f6c1e5aa1749e5e">
      <tp>
        <v>1</v>
        <stp/>
        <stp>fc9c2b16-e97f-48ce-bc79-0d82b0319f74</stp>
        <tr r="E49" s="10"/>
        <tr r="E49" s="7"/>
        <tr r="E49" s="5"/>
        <tr r="E49" s="6"/>
        <tr r="E49" s="9"/>
        <tr r="E49" s="4"/>
        <tr r="E49" s="8"/>
        <tr r="E49" s="3"/>
      </tp>
    </main>
    <main first="rtdsrv.265127e13e5d47688f6c1e5aa1749e5e">
      <tp>
        <v>1</v>
        <stp/>
        <stp>32deafad-2f2e-4fa5-a7e5-5dc0e565bced</stp>
        <tr r="E14" s="3"/>
        <tr r="E14" s="10"/>
        <tr r="E14" s="7"/>
        <tr r="E14" s="4"/>
        <tr r="E14" s="6"/>
        <tr r="E14" s="5"/>
        <tr r="E14" s="9"/>
        <tr r="E14" s="8"/>
      </tp>
      <tp>
        <v>1</v>
        <stp/>
        <stp>0b8af268-91cc-4366-8e75-68f084f74a51</stp>
        <tr r="E81" s="8"/>
        <tr r="E81" s="5"/>
        <tr r="E81" s="3"/>
        <tr r="E81" s="9"/>
        <tr r="E81" s="7"/>
        <tr r="E81" s="4"/>
        <tr r="E81" s="10"/>
        <tr r="E81" s="6"/>
      </tp>
    </main>
    <main first="rtdsrv.265127e13e5d47688f6c1e5aa1749e5e">
      <tp>
        <v>1</v>
        <stp/>
        <stp>04f59c4c-bd6c-4e5b-84cf-05229e5c6ad8</stp>
        <tr r="E40" s="4"/>
        <tr r="E40" s="9"/>
        <tr r="E40" s="6"/>
        <tr r="E40" s="3"/>
        <tr r="E40" s="8"/>
        <tr r="E40" s="10"/>
        <tr r="E40" s="5"/>
        <tr r="E40" s="7"/>
      </tp>
    </main>
    <main first="rtdsrv.265127e13e5d47688f6c1e5aa1749e5e">
      <tp>
        <v>1</v>
        <stp/>
        <stp>94b9ad54-6072-498c-b5d6-ac0a94551376</stp>
        <tr r="E77" s="4"/>
        <tr r="E77" s="10"/>
        <tr r="E77" s="9"/>
        <tr r="E77" s="7"/>
        <tr r="E77" s="3"/>
        <tr r="E77" s="6"/>
        <tr r="E77" s="8"/>
        <tr r="E77" s="5"/>
      </tp>
      <tp>
        <v>1</v>
        <stp/>
        <stp>bad58840-c933-4521-bbb8-38a360f92d71</stp>
        <tr r="E75" s="8"/>
        <tr r="E75" s="3"/>
        <tr r="E75" s="6"/>
        <tr r="E75" s="5"/>
        <tr r="E75" s="7"/>
        <tr r="E75" s="9"/>
        <tr r="E75" s="4"/>
        <tr r="E75" s="10"/>
      </tp>
      <tp>
        <v>1</v>
        <stp/>
        <stp>283ec72a-872f-4d52-81fa-d73aab3020bb</stp>
        <tr r="E24" s="3"/>
        <tr r="E24" s="9"/>
        <tr r="E24" s="5"/>
        <tr r="E24" s="10"/>
        <tr r="E24" s="6"/>
        <tr r="E24" s="7"/>
        <tr r="E24" s="4"/>
        <tr r="E24" s="8"/>
      </tp>
    </main>
    <main first="rtdsrv.265127e13e5d47688f6c1e5aa1749e5e">
      <tp>
        <v>1</v>
        <stp/>
        <stp>4419fd82-b37f-4186-bd17-6b42ebf01333</stp>
        <tr r="E64" s="9"/>
        <tr r="E64" s="6"/>
        <tr r="E64" s="7"/>
        <tr r="E64" s="8"/>
        <tr r="E64" s="4"/>
        <tr r="E64" s="10"/>
        <tr r="E64" s="3"/>
        <tr r="E64" s="5"/>
      </tp>
      <tp>
        <v>1</v>
        <stp/>
        <stp>6c29771f-0084-497d-a3aa-fe4c21a81284</stp>
        <tr r="E65" s="4"/>
        <tr r="E65" s="8"/>
        <tr r="E65" s="6"/>
        <tr r="E65" s="7"/>
        <tr r="E65" s="10"/>
        <tr r="E65" s="5"/>
        <tr r="E65" s="3"/>
        <tr r="E65" s="9"/>
      </tp>
      <tp>
        <v>1</v>
        <stp/>
        <stp>4991bf3a-1021-4191-98b6-651bd6fdd9f5</stp>
        <tr r="E21" s="6"/>
        <tr r="E21" s="10"/>
        <tr r="E21" s="3"/>
        <tr r="E21" s="9"/>
        <tr r="E21" s="5"/>
        <tr r="E21" s="7"/>
        <tr r="E21" s="4"/>
        <tr r="E21" s="8"/>
      </tp>
    </main>
    <main first="rtdsrv.265127e13e5d47688f6c1e5aa1749e5e">
      <tp>
        <v>1</v>
        <stp/>
        <stp>9c4c6abb-32ae-45e2-9a88-c2719695f80d</stp>
        <tr r="E96" s="7"/>
        <tr r="E97" s="10"/>
        <tr r="E96" s="9"/>
        <tr r="E96" s="10"/>
        <tr r="E97" s="3"/>
        <tr r="E97" s="4"/>
        <tr r="E97" s="5"/>
        <tr r="E97" s="7"/>
        <tr r="E97" s="6"/>
        <tr r="E96" s="8"/>
        <tr r="E97" s="9"/>
        <tr r="E97" s="8"/>
        <tr r="E96" s="3"/>
        <tr r="E96" s="4"/>
        <tr r="E96" s="6"/>
        <tr r="E96" s="5"/>
      </tp>
      <tp>
        <v>1</v>
        <stp/>
        <stp>3aac36a3-4f23-4f6d-9e27-452c227a0509</stp>
        <tr r="E89" s="7"/>
        <tr r="E89" s="8"/>
        <tr r="E89" s="4"/>
        <tr r="E89" s="5"/>
        <tr r="E89" s="3"/>
        <tr r="E89" s="9"/>
        <tr r="E89" s="10"/>
        <tr r="E89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1 (v19.7_CL)'!$B$42:$B$49</c:f>
              <c:numCache>
                <c:formatCode>General</c:formatCode>
                <c:ptCount val="8"/>
                <c:pt idx="0">
                  <c:v>45.14</c:v>
                </c:pt>
                <c:pt idx="1">
                  <c:v>46.62</c:v>
                </c:pt>
                <c:pt idx="2">
                  <c:v>49.38</c:v>
                </c:pt>
                <c:pt idx="3">
                  <c:v>50.97</c:v>
                </c:pt>
                <c:pt idx="4">
                  <c:v>52.49</c:v>
                </c:pt>
                <c:pt idx="5">
                  <c:v>56.29</c:v>
                </c:pt>
                <c:pt idx="6">
                  <c:v>57.47</c:v>
                </c:pt>
                <c:pt idx="7">
                  <c:v>56.03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6E-4D43-8F76-D63491EE1CFC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1 (v19.7_CL)'!$E$43:$E$49</c:f>
              <c:numCache>
                <c:formatCode>General</c:formatCode>
                <c:ptCount val="7"/>
                <c:pt idx="0">
                  <c:v>44.256293205140025</c:v>
                </c:pt>
                <c:pt idx="1">
                  <c:v>51.046222751798837</c:v>
                </c:pt>
                <c:pt idx="2">
                  <c:v>51.324729923188499</c:v>
                </c:pt>
                <c:pt idx="3">
                  <c:v>51.324229247386768</c:v>
                </c:pt>
                <c:pt idx="4">
                  <c:v>51.308154055619923</c:v>
                </c:pt>
                <c:pt idx="5">
                  <c:v>51.270383260680148</c:v>
                </c:pt>
                <c:pt idx="6">
                  <c:v>51.149207088972048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6E-4D43-8F76-D63491EE1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Desorber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1 (v19.7_CL)'!$B$62:$B$66</c:f>
              <c:numCache>
                <c:formatCode>General</c:formatCode>
                <c:ptCount val="5"/>
                <c:pt idx="0">
                  <c:v>116.73</c:v>
                </c:pt>
                <c:pt idx="1">
                  <c:v>109.2</c:v>
                </c:pt>
                <c:pt idx="2">
                  <c:v>106.76</c:v>
                </c:pt>
                <c:pt idx="3">
                  <c:v>106.59</c:v>
                </c:pt>
                <c:pt idx="4">
                  <c:v>107.02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D9-4AED-8EB6-6ECD35A09D19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1 (v19.7_CL)'!$E$62:$E$66</c:f>
              <c:numCache>
                <c:formatCode>General</c:formatCode>
                <c:ptCount val="5"/>
                <c:pt idx="0">
                  <c:v>109.21682986835305</c:v>
                </c:pt>
                <c:pt idx="1">
                  <c:v>104.69953913461302</c:v>
                </c:pt>
                <c:pt idx="2">
                  <c:v>102.5702896885785</c:v>
                </c:pt>
                <c:pt idx="3">
                  <c:v>101.96607573063903</c:v>
                </c:pt>
                <c:pt idx="4">
                  <c:v>101.92808338195903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D9-4AED-8EB6-6ECD35A09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86644950654114"/>
          <c:y val="0.18218824602897915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317358</xdr:colOff>
      <xdr:row>39</xdr:row>
      <xdr:rowOff>123539</xdr:rowOff>
    </xdr:from>
    <xdr:to>
      <xdr:col>14</xdr:col>
      <xdr:colOff>544516</xdr:colOff>
      <xdr:row>54</xdr:row>
      <xdr:rowOff>94913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5F4B412-B9D1-4503-81A4-70F26E281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62</xdr:row>
      <xdr:rowOff>0</xdr:rowOff>
    </xdr:from>
    <xdr:to>
      <xdr:col>15</xdr:col>
      <xdr:colOff>227157</xdr:colOff>
      <xdr:row>76</xdr:row>
      <xdr:rowOff>153214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CAFCD22A-6CC2-4864-B576-A8259AED9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EA7C-F533-494C-A33C-AB82FEEEBA31}">
  <dimension ref="A1:P52"/>
  <sheetViews>
    <sheetView zoomScale="85" zoomScaleNormal="85" workbookViewId="0">
      <selection activeCell="C48" sqref="C48"/>
    </sheetView>
  </sheetViews>
  <sheetFormatPr baseColWidth="10" defaultRowHeight="14.4" x14ac:dyDescent="0.3"/>
  <sheetData>
    <row r="1" spans="1:16" x14ac:dyDescent="0.3">
      <c r="A1" t="s">
        <v>202</v>
      </c>
      <c r="B1" t="s">
        <v>203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N1" t="s">
        <v>242</v>
      </c>
      <c r="P1" t="s">
        <v>275</v>
      </c>
    </row>
    <row r="2" spans="1:16" x14ac:dyDescent="0.3">
      <c r="A2" t="s">
        <v>56</v>
      </c>
      <c r="B2" t="s">
        <v>93</v>
      </c>
      <c r="C2" s="9">
        <v>3.52</v>
      </c>
      <c r="D2" s="9">
        <v>6.77</v>
      </c>
      <c r="E2" s="9">
        <v>7.41</v>
      </c>
      <c r="F2" s="9">
        <v>3.57</v>
      </c>
      <c r="G2" s="9">
        <v>3.9</v>
      </c>
      <c r="H2" s="9">
        <v>5.41</v>
      </c>
      <c r="I2">
        <v>4.57</v>
      </c>
      <c r="J2">
        <v>1.55</v>
      </c>
      <c r="N2">
        <v>1</v>
      </c>
      <c r="P2">
        <v>0</v>
      </c>
    </row>
    <row r="3" spans="1:16" x14ac:dyDescent="0.3">
      <c r="A3" t="s">
        <v>57</v>
      </c>
      <c r="B3" t="s">
        <v>93</v>
      </c>
      <c r="C3" s="9">
        <v>0.28999999999999998</v>
      </c>
      <c r="D3" s="9">
        <v>1.19</v>
      </c>
      <c r="E3" s="9">
        <v>3.05</v>
      </c>
      <c r="F3" s="9">
        <v>0</v>
      </c>
      <c r="G3" s="9">
        <v>0.44</v>
      </c>
      <c r="H3" s="9">
        <v>3.09</v>
      </c>
      <c r="I3">
        <v>1.38</v>
      </c>
      <c r="J3">
        <v>0</v>
      </c>
      <c r="N3">
        <v>2</v>
      </c>
      <c r="P3">
        <v>1</v>
      </c>
    </row>
    <row r="4" spans="1:16" x14ac:dyDescent="0.3">
      <c r="A4" t="s">
        <v>58</v>
      </c>
      <c r="B4" t="s">
        <v>33</v>
      </c>
      <c r="C4" s="9">
        <v>166.93</v>
      </c>
      <c r="D4" s="9">
        <v>172.33</v>
      </c>
      <c r="E4" s="9">
        <v>152.07</v>
      </c>
      <c r="F4" s="9">
        <v>142.13</v>
      </c>
      <c r="G4" s="9">
        <v>240.87</v>
      </c>
      <c r="H4" s="9">
        <v>178.72</v>
      </c>
      <c r="I4">
        <v>238.82</v>
      </c>
      <c r="J4">
        <v>239.09</v>
      </c>
      <c r="N4">
        <v>3</v>
      </c>
      <c r="P4">
        <v>2</v>
      </c>
    </row>
    <row r="5" spans="1:16" x14ac:dyDescent="0.3">
      <c r="A5" t="s">
        <v>59</v>
      </c>
      <c r="B5" t="s">
        <v>33</v>
      </c>
      <c r="C5" s="9">
        <v>171.04</v>
      </c>
      <c r="D5" s="9">
        <v>179.79</v>
      </c>
      <c r="E5" s="9">
        <v>156.94999999999999</v>
      </c>
      <c r="F5" s="9">
        <v>146.43</v>
      </c>
      <c r="G5" s="9">
        <v>246.13</v>
      </c>
      <c r="H5" s="9">
        <v>180.31</v>
      </c>
      <c r="I5">
        <v>241.74</v>
      </c>
      <c r="J5">
        <v>240.34</v>
      </c>
      <c r="N5">
        <v>4</v>
      </c>
      <c r="P5">
        <v>3</v>
      </c>
    </row>
    <row r="6" spans="1:16" x14ac:dyDescent="0.3">
      <c r="A6" t="s">
        <v>11</v>
      </c>
      <c r="B6" t="s">
        <v>204</v>
      </c>
      <c r="C6" s="9">
        <v>89.77</v>
      </c>
      <c r="D6" s="9">
        <v>90.09</v>
      </c>
      <c r="E6" s="9">
        <v>127.02</v>
      </c>
      <c r="F6" s="9">
        <v>100.1</v>
      </c>
      <c r="G6" s="9">
        <v>125.94</v>
      </c>
      <c r="H6" s="9">
        <v>118.96</v>
      </c>
      <c r="I6">
        <v>118.87</v>
      </c>
      <c r="J6">
        <v>118.57</v>
      </c>
      <c r="N6">
        <v>5</v>
      </c>
      <c r="P6">
        <v>4</v>
      </c>
    </row>
    <row r="7" spans="1:16" x14ac:dyDescent="0.3">
      <c r="A7" t="s">
        <v>60</v>
      </c>
      <c r="B7" t="s">
        <v>33</v>
      </c>
      <c r="C7" s="9">
        <v>2.91</v>
      </c>
      <c r="D7" s="9">
        <v>4.16</v>
      </c>
      <c r="E7" s="9">
        <v>4.5999999999999996</v>
      </c>
      <c r="F7" s="9">
        <v>3.93</v>
      </c>
      <c r="G7" s="9">
        <v>5.56</v>
      </c>
      <c r="H7" s="9">
        <v>2.11</v>
      </c>
      <c r="I7">
        <v>3.49</v>
      </c>
      <c r="J7">
        <v>5.42</v>
      </c>
      <c r="N7">
        <v>6</v>
      </c>
    </row>
    <row r="8" spans="1:16" x14ac:dyDescent="0.3">
      <c r="A8" t="s">
        <v>61</v>
      </c>
      <c r="B8" t="s">
        <v>33</v>
      </c>
      <c r="C8" s="9">
        <v>4.41</v>
      </c>
      <c r="D8" s="9">
        <v>7.71</v>
      </c>
      <c r="E8" s="9">
        <v>8.99</v>
      </c>
      <c r="F8" s="9">
        <v>6.53</v>
      </c>
      <c r="G8" s="9">
        <v>7.21</v>
      </c>
      <c r="H8" s="9">
        <v>4.95</v>
      </c>
      <c r="I8">
        <v>6.63</v>
      </c>
      <c r="J8">
        <v>3.25</v>
      </c>
      <c r="N8">
        <v>7</v>
      </c>
    </row>
    <row r="9" spans="1:16" x14ac:dyDescent="0.3">
      <c r="A9" t="s">
        <v>62</v>
      </c>
      <c r="B9" t="s">
        <v>33</v>
      </c>
      <c r="C9" s="9">
        <v>23.51</v>
      </c>
      <c r="D9" s="9">
        <v>23.21</v>
      </c>
      <c r="E9" s="9">
        <v>294.18</v>
      </c>
      <c r="F9" s="9">
        <v>271</v>
      </c>
      <c r="G9" s="9">
        <v>264.18</v>
      </c>
      <c r="H9" s="9">
        <v>196.66</v>
      </c>
      <c r="I9">
        <v>228.23</v>
      </c>
      <c r="J9">
        <v>251.49</v>
      </c>
    </row>
    <row r="10" spans="1:16" x14ac:dyDescent="0.3">
      <c r="A10" t="s">
        <v>63</v>
      </c>
      <c r="B10" t="s">
        <v>41</v>
      </c>
      <c r="C10" s="9">
        <v>6.82</v>
      </c>
      <c r="D10" s="9">
        <v>9.23</v>
      </c>
      <c r="E10" s="9">
        <v>10.02</v>
      </c>
      <c r="F10" s="9">
        <v>8.2899999999999991</v>
      </c>
      <c r="G10" s="9">
        <v>10.35</v>
      </c>
      <c r="H10" s="9">
        <v>6.13</v>
      </c>
      <c r="I10">
        <v>8.33</v>
      </c>
      <c r="J10">
        <v>8.26</v>
      </c>
    </row>
    <row r="11" spans="1:16" x14ac:dyDescent="0.3">
      <c r="A11" t="s">
        <v>64</v>
      </c>
      <c r="B11" t="s">
        <v>94</v>
      </c>
      <c r="C11" s="9">
        <v>11.32</v>
      </c>
      <c r="D11" s="9">
        <v>11.32</v>
      </c>
      <c r="E11" s="9">
        <v>11.32</v>
      </c>
      <c r="F11" s="9">
        <v>11.32</v>
      </c>
      <c r="G11" s="9">
        <v>11.67</v>
      </c>
      <c r="H11" s="9">
        <v>11.95</v>
      </c>
      <c r="I11">
        <v>11.95</v>
      </c>
      <c r="J11">
        <v>11.95</v>
      </c>
    </row>
    <row r="12" spans="1:16" x14ac:dyDescent="0.3">
      <c r="A12" t="s">
        <v>65</v>
      </c>
      <c r="B12" t="s">
        <v>94</v>
      </c>
      <c r="C12" s="9">
        <v>54.03</v>
      </c>
      <c r="D12" s="9">
        <v>53.31</v>
      </c>
      <c r="E12" s="9">
        <v>53.84</v>
      </c>
      <c r="F12" s="9">
        <v>53.67</v>
      </c>
      <c r="G12" s="9">
        <v>53.67</v>
      </c>
      <c r="H12" s="9">
        <v>54.75</v>
      </c>
      <c r="I12">
        <v>54.39</v>
      </c>
      <c r="J12">
        <v>54.4</v>
      </c>
    </row>
    <row r="13" spans="1:16" x14ac:dyDescent="0.3">
      <c r="A13" t="s">
        <v>47</v>
      </c>
      <c r="B13" t="s">
        <v>50</v>
      </c>
      <c r="C13" s="9">
        <v>1014.07</v>
      </c>
      <c r="D13" s="9">
        <v>1002.74</v>
      </c>
      <c r="E13" s="9">
        <v>1040.05</v>
      </c>
      <c r="F13" s="9">
        <v>1027.44</v>
      </c>
      <c r="G13" s="9">
        <v>1012.1</v>
      </c>
      <c r="H13" s="9">
        <v>1030.53</v>
      </c>
      <c r="I13">
        <v>1031.27</v>
      </c>
      <c r="J13">
        <v>1001.61</v>
      </c>
    </row>
    <row r="14" spans="1:16" x14ac:dyDescent="0.3">
      <c r="A14" t="s">
        <v>66</v>
      </c>
      <c r="B14" t="s">
        <v>50</v>
      </c>
      <c r="C14" s="9">
        <v>1019.19</v>
      </c>
      <c r="D14" s="9">
        <v>1005.78</v>
      </c>
      <c r="E14" s="9">
        <v>1048.1300000000001</v>
      </c>
      <c r="F14" s="9">
        <v>1032.3</v>
      </c>
      <c r="G14" s="9">
        <v>1020.73</v>
      </c>
      <c r="H14" s="9">
        <v>1038.75</v>
      </c>
      <c r="I14">
        <v>1041.48</v>
      </c>
      <c r="J14">
        <v>1010.21</v>
      </c>
    </row>
    <row r="15" spans="1:16" x14ac:dyDescent="0.3">
      <c r="A15" t="s">
        <v>67</v>
      </c>
      <c r="B15" t="s">
        <v>50</v>
      </c>
      <c r="C15" s="9">
        <v>1016.6</v>
      </c>
      <c r="D15" s="9">
        <v>1010.37</v>
      </c>
      <c r="E15" s="9">
        <v>1056.4000000000001</v>
      </c>
      <c r="F15" s="9">
        <v>1035.01</v>
      </c>
      <c r="G15" s="9">
        <v>1029</v>
      </c>
      <c r="H15" s="9">
        <v>1042.6600000000001</v>
      </c>
      <c r="I15">
        <v>1045.31</v>
      </c>
      <c r="J15">
        <v>1014.5</v>
      </c>
    </row>
    <row r="16" spans="1:16" x14ac:dyDescent="0.3">
      <c r="A16" t="s">
        <v>68</v>
      </c>
      <c r="B16" t="s">
        <v>51</v>
      </c>
      <c r="C16" s="9">
        <v>0.9</v>
      </c>
      <c r="D16" s="9">
        <v>0.9</v>
      </c>
      <c r="E16" s="9">
        <v>0.9</v>
      </c>
      <c r="F16" s="9">
        <v>0.9</v>
      </c>
      <c r="G16" s="9">
        <v>0.9</v>
      </c>
      <c r="H16" s="9">
        <v>0.7</v>
      </c>
      <c r="I16">
        <v>0.7</v>
      </c>
      <c r="J16">
        <v>0.7</v>
      </c>
    </row>
    <row r="17" spans="1:10" x14ac:dyDescent="0.3">
      <c r="A17" t="s">
        <v>69</v>
      </c>
      <c r="B17" t="s">
        <v>51</v>
      </c>
      <c r="C17" s="9">
        <v>0.89</v>
      </c>
      <c r="D17" s="9">
        <v>0.88</v>
      </c>
      <c r="E17" s="9">
        <v>0.88</v>
      </c>
      <c r="F17" s="9">
        <v>0.89</v>
      </c>
      <c r="G17" s="9">
        <v>0.88</v>
      </c>
      <c r="H17" s="9">
        <v>0.69</v>
      </c>
      <c r="I17">
        <v>0.68</v>
      </c>
      <c r="J17">
        <v>0.7</v>
      </c>
    </row>
    <row r="18" spans="1:10" x14ac:dyDescent="0.3">
      <c r="A18" t="s">
        <v>70</v>
      </c>
      <c r="B18" t="s">
        <v>94</v>
      </c>
      <c r="C18" s="9">
        <v>6.48</v>
      </c>
      <c r="D18" s="9">
        <v>6.89</v>
      </c>
      <c r="E18" s="9">
        <v>6.97</v>
      </c>
      <c r="F18" s="9">
        <v>5.86</v>
      </c>
      <c r="G18" s="9">
        <v>6.6</v>
      </c>
      <c r="H18" s="9">
        <v>6.49</v>
      </c>
      <c r="I18">
        <v>6.78</v>
      </c>
      <c r="J18">
        <v>5.67</v>
      </c>
    </row>
    <row r="19" spans="1:10" x14ac:dyDescent="0.3">
      <c r="A19" t="s">
        <v>71</v>
      </c>
      <c r="B19" t="s">
        <v>95</v>
      </c>
      <c r="C19" s="9">
        <v>1.069</v>
      </c>
      <c r="D19" s="9">
        <v>1.0649999999999999</v>
      </c>
      <c r="E19" s="9">
        <v>1.0529999999999999</v>
      </c>
      <c r="F19" s="9">
        <v>1.0569999999999999</v>
      </c>
      <c r="G19" s="9">
        <v>1.069</v>
      </c>
      <c r="H19" s="9">
        <v>1.075</v>
      </c>
      <c r="I19">
        <v>1.071</v>
      </c>
      <c r="J19">
        <v>1.0589999999999999</v>
      </c>
    </row>
    <row r="20" spans="1:10" x14ac:dyDescent="0.3">
      <c r="A20" t="s">
        <v>72</v>
      </c>
      <c r="B20" t="s">
        <v>95</v>
      </c>
      <c r="C20" s="9">
        <v>1.091</v>
      </c>
      <c r="D20" s="9">
        <v>1.097</v>
      </c>
      <c r="E20" s="9">
        <v>1.1020000000000001</v>
      </c>
      <c r="F20" s="9">
        <v>1.097</v>
      </c>
      <c r="G20" s="9">
        <v>1.0920000000000001</v>
      </c>
      <c r="H20" s="9">
        <v>1.1020000000000001</v>
      </c>
      <c r="I20">
        <v>1.0960000000000001</v>
      </c>
      <c r="J20">
        <v>1.073</v>
      </c>
    </row>
    <row r="21" spans="1:10" x14ac:dyDescent="0.3">
      <c r="A21" t="s">
        <v>73</v>
      </c>
      <c r="B21" t="s">
        <v>205</v>
      </c>
      <c r="C21" s="9">
        <v>45.14</v>
      </c>
      <c r="D21" s="9">
        <v>51.61</v>
      </c>
      <c r="E21" s="9">
        <v>47.91</v>
      </c>
      <c r="F21" s="9">
        <v>44.15</v>
      </c>
      <c r="G21" s="9">
        <v>45.55</v>
      </c>
      <c r="H21" s="9">
        <v>35.78</v>
      </c>
      <c r="I21">
        <v>39.159999999999997</v>
      </c>
      <c r="J21">
        <v>35.96</v>
      </c>
    </row>
    <row r="22" spans="1:10" x14ac:dyDescent="0.3">
      <c r="A22" t="s">
        <v>17</v>
      </c>
      <c r="B22" t="s">
        <v>205</v>
      </c>
      <c r="C22" s="9">
        <v>46.62</v>
      </c>
      <c r="D22" s="9">
        <v>52.68</v>
      </c>
      <c r="E22" s="9">
        <v>48.73</v>
      </c>
      <c r="F22" s="9">
        <v>45.3</v>
      </c>
      <c r="G22" s="9">
        <v>47.05</v>
      </c>
      <c r="H22" s="9">
        <v>36.56</v>
      </c>
      <c r="I22">
        <v>40.79</v>
      </c>
      <c r="J22">
        <v>38.520000000000003</v>
      </c>
    </row>
    <row r="23" spans="1:10" x14ac:dyDescent="0.3">
      <c r="A23" t="s">
        <v>19</v>
      </c>
      <c r="B23" t="s">
        <v>205</v>
      </c>
      <c r="C23" s="9">
        <v>49.38</v>
      </c>
      <c r="D23" s="9">
        <v>53.57</v>
      </c>
      <c r="E23" s="9">
        <v>48.67</v>
      </c>
      <c r="F23" s="9">
        <v>47.59</v>
      </c>
      <c r="G23" s="9">
        <v>50.02</v>
      </c>
      <c r="H23" s="9">
        <v>37.270000000000003</v>
      </c>
      <c r="I23">
        <v>43.82</v>
      </c>
      <c r="J23">
        <v>42.51</v>
      </c>
    </row>
    <row r="24" spans="1:10" x14ac:dyDescent="0.3">
      <c r="A24" t="s">
        <v>20</v>
      </c>
      <c r="B24" t="s">
        <v>205</v>
      </c>
      <c r="C24" s="9">
        <v>50.97</v>
      </c>
      <c r="D24" s="9">
        <v>54.13</v>
      </c>
      <c r="E24" s="9">
        <v>48.61</v>
      </c>
      <c r="F24" s="9">
        <v>49.28</v>
      </c>
      <c r="G24" s="9">
        <v>51.8</v>
      </c>
      <c r="H24" s="9">
        <v>37.96</v>
      </c>
      <c r="I24">
        <v>45.76</v>
      </c>
      <c r="J24">
        <v>44.62</v>
      </c>
    </row>
    <row r="25" spans="1:10" x14ac:dyDescent="0.3">
      <c r="A25" t="s">
        <v>21</v>
      </c>
      <c r="B25" t="s">
        <v>205</v>
      </c>
      <c r="C25" s="9">
        <v>52.49</v>
      </c>
      <c r="D25" s="9">
        <v>55.1</v>
      </c>
      <c r="E25" s="9">
        <v>48.67</v>
      </c>
      <c r="F25" s="9">
        <v>51.04</v>
      </c>
      <c r="G25" s="9">
        <v>53.27</v>
      </c>
      <c r="H25" s="9">
        <v>38.75</v>
      </c>
      <c r="I25">
        <v>47.36</v>
      </c>
      <c r="J25">
        <v>45.99</v>
      </c>
    </row>
    <row r="26" spans="1:10" x14ac:dyDescent="0.3">
      <c r="A26" t="s">
        <v>22</v>
      </c>
      <c r="B26" t="s">
        <v>205</v>
      </c>
      <c r="C26" s="9">
        <v>56.29</v>
      </c>
      <c r="D26" s="9">
        <v>60.1</v>
      </c>
      <c r="E26" s="9">
        <v>50.85</v>
      </c>
      <c r="F26" s="9">
        <v>56.19</v>
      </c>
      <c r="G26" s="9">
        <v>57.25</v>
      </c>
      <c r="H26" s="9">
        <v>42.86</v>
      </c>
      <c r="I26">
        <v>52.69</v>
      </c>
      <c r="J26">
        <v>48.32</v>
      </c>
    </row>
    <row r="27" spans="1:10" x14ac:dyDescent="0.3">
      <c r="A27" t="s">
        <v>23</v>
      </c>
      <c r="B27" t="s">
        <v>205</v>
      </c>
      <c r="C27" s="9">
        <v>57.47</v>
      </c>
      <c r="D27" s="9">
        <v>64.31</v>
      </c>
      <c r="E27" s="9">
        <v>56.46</v>
      </c>
      <c r="F27" s="9">
        <v>58.26</v>
      </c>
      <c r="G27" s="9">
        <v>58.54</v>
      </c>
      <c r="H27" s="9">
        <v>48.13</v>
      </c>
      <c r="I27">
        <v>55.6</v>
      </c>
      <c r="J27">
        <v>46.78</v>
      </c>
    </row>
    <row r="28" spans="1:10" x14ac:dyDescent="0.3">
      <c r="A28" t="s">
        <v>24</v>
      </c>
      <c r="B28" t="s">
        <v>205</v>
      </c>
      <c r="C28" s="9">
        <v>56.03</v>
      </c>
      <c r="D28" s="9">
        <v>65.03</v>
      </c>
      <c r="E28" s="9">
        <v>58.9</v>
      </c>
      <c r="F28" s="9">
        <v>58.25</v>
      </c>
      <c r="G28" s="9">
        <v>58.36</v>
      </c>
      <c r="H28" s="9">
        <v>49.21</v>
      </c>
      <c r="I28">
        <v>54.88</v>
      </c>
      <c r="J28">
        <v>44.16</v>
      </c>
    </row>
    <row r="29" spans="1:10" x14ac:dyDescent="0.3">
      <c r="A29" t="s">
        <v>25</v>
      </c>
      <c r="B29" t="s">
        <v>205</v>
      </c>
      <c r="C29" s="9">
        <v>49.1</v>
      </c>
      <c r="D29" s="9">
        <v>58.31</v>
      </c>
      <c r="E29" s="9">
        <v>57.95</v>
      </c>
      <c r="F29" s="9">
        <v>53.51</v>
      </c>
      <c r="G29" s="9">
        <v>52.17</v>
      </c>
      <c r="H29" s="9">
        <v>46.94</v>
      </c>
      <c r="I29">
        <v>50.02</v>
      </c>
      <c r="J29">
        <v>40.9</v>
      </c>
    </row>
    <row r="30" spans="1:10" x14ac:dyDescent="0.3">
      <c r="A30" t="s">
        <v>16</v>
      </c>
      <c r="B30" t="s">
        <v>205</v>
      </c>
      <c r="C30" s="9">
        <v>42.18</v>
      </c>
      <c r="D30" s="9">
        <v>49.24</v>
      </c>
      <c r="E30" s="9">
        <v>46.68</v>
      </c>
      <c r="F30" s="9">
        <v>41.78</v>
      </c>
      <c r="G30" s="9">
        <v>44.38</v>
      </c>
      <c r="H30" s="9">
        <v>38.93</v>
      </c>
      <c r="I30">
        <v>39.58</v>
      </c>
      <c r="J30">
        <v>36.57</v>
      </c>
    </row>
    <row r="31" spans="1:10" x14ac:dyDescent="0.3">
      <c r="A31" t="s">
        <v>74</v>
      </c>
      <c r="B31" t="s">
        <v>205</v>
      </c>
      <c r="C31" s="9">
        <v>44.96</v>
      </c>
      <c r="D31" s="9">
        <v>51.39</v>
      </c>
      <c r="E31" s="9">
        <v>47.67</v>
      </c>
      <c r="F31" s="9">
        <v>43.92</v>
      </c>
      <c r="G31" s="9">
        <v>45.45</v>
      </c>
      <c r="H31" s="9">
        <v>35.76</v>
      </c>
      <c r="I31">
        <v>39.159999999999997</v>
      </c>
      <c r="J31">
        <v>36.01</v>
      </c>
    </row>
    <row r="32" spans="1:10" x14ac:dyDescent="0.3">
      <c r="A32" t="s">
        <v>75</v>
      </c>
      <c r="B32" t="s">
        <v>205</v>
      </c>
      <c r="C32" s="9">
        <v>43.37</v>
      </c>
      <c r="D32" s="9">
        <v>51.32</v>
      </c>
      <c r="E32" s="9">
        <v>51.62</v>
      </c>
      <c r="F32" s="9">
        <v>47.7</v>
      </c>
      <c r="G32" s="9">
        <v>45.92</v>
      </c>
      <c r="H32" s="9">
        <v>41.79</v>
      </c>
      <c r="I32">
        <v>43.21</v>
      </c>
      <c r="J32">
        <v>36.39</v>
      </c>
    </row>
    <row r="33" spans="1:10" x14ac:dyDescent="0.3">
      <c r="A33" t="s">
        <v>76</v>
      </c>
      <c r="B33" t="s">
        <v>205</v>
      </c>
      <c r="C33" s="9">
        <v>44.15</v>
      </c>
      <c r="D33" s="9">
        <v>50.31</v>
      </c>
      <c r="E33" s="9">
        <v>46.72</v>
      </c>
      <c r="F33" s="9">
        <v>43.07</v>
      </c>
      <c r="G33" s="9">
        <v>44.87</v>
      </c>
      <c r="H33" s="9">
        <v>35.14</v>
      </c>
      <c r="I33">
        <v>38.56</v>
      </c>
      <c r="J33">
        <v>35.58</v>
      </c>
    </row>
    <row r="34" spans="1:10" x14ac:dyDescent="0.3">
      <c r="A34" t="s">
        <v>77</v>
      </c>
      <c r="B34" t="s">
        <v>205</v>
      </c>
      <c r="C34" s="9">
        <v>36.06</v>
      </c>
      <c r="D34" s="9">
        <v>35.92</v>
      </c>
      <c r="E34" s="9">
        <v>35.950000000000003</v>
      </c>
      <c r="F34" s="9">
        <v>36.119999999999997</v>
      </c>
      <c r="G34" s="9">
        <v>38.44</v>
      </c>
      <c r="H34" s="9">
        <v>36.299999999999997</v>
      </c>
      <c r="I34">
        <v>36.46</v>
      </c>
      <c r="J34">
        <v>36.24</v>
      </c>
    </row>
    <row r="35" spans="1:10" x14ac:dyDescent="0.3">
      <c r="A35" t="s">
        <v>78</v>
      </c>
      <c r="B35" t="s">
        <v>205</v>
      </c>
      <c r="C35" s="9">
        <v>109.87</v>
      </c>
      <c r="D35" s="9">
        <v>109.15</v>
      </c>
      <c r="E35" s="9">
        <v>109.62</v>
      </c>
      <c r="F35" s="9">
        <v>110.49</v>
      </c>
      <c r="G35" s="9">
        <v>112.31</v>
      </c>
      <c r="H35" s="9">
        <v>103.18</v>
      </c>
      <c r="I35">
        <v>105.44</v>
      </c>
      <c r="J35">
        <v>110.81</v>
      </c>
    </row>
    <row r="36" spans="1:10" x14ac:dyDescent="0.3">
      <c r="A36" t="s">
        <v>79</v>
      </c>
      <c r="B36" t="s">
        <v>205</v>
      </c>
      <c r="C36" s="9">
        <v>107.81</v>
      </c>
      <c r="D36" s="9">
        <v>105.5</v>
      </c>
      <c r="E36" s="9">
        <v>105.29</v>
      </c>
      <c r="F36" s="9">
        <v>107.4</v>
      </c>
      <c r="G36" s="9">
        <v>110.1</v>
      </c>
      <c r="H36" s="9">
        <v>100.05</v>
      </c>
      <c r="I36">
        <v>102.8</v>
      </c>
      <c r="J36">
        <v>109.65</v>
      </c>
    </row>
    <row r="37" spans="1:10" x14ac:dyDescent="0.3">
      <c r="A37" t="s">
        <v>80</v>
      </c>
      <c r="B37" t="s">
        <v>205</v>
      </c>
      <c r="C37" s="9">
        <v>15.7</v>
      </c>
      <c r="D37" s="9">
        <v>20.81</v>
      </c>
      <c r="E37" s="9">
        <v>24.87</v>
      </c>
      <c r="F37" s="9">
        <v>18.5</v>
      </c>
      <c r="G37" s="9">
        <v>22</v>
      </c>
      <c r="H37" s="9">
        <v>15.2</v>
      </c>
      <c r="I37">
        <v>19.07</v>
      </c>
      <c r="J37">
        <v>15.51</v>
      </c>
    </row>
    <row r="38" spans="1:10" x14ac:dyDescent="0.3">
      <c r="A38" t="s">
        <v>81</v>
      </c>
      <c r="B38" t="s">
        <v>205</v>
      </c>
      <c r="C38" s="9">
        <v>112.66</v>
      </c>
      <c r="D38" s="9">
        <v>115.45</v>
      </c>
      <c r="E38" s="9">
        <v>118.52</v>
      </c>
      <c r="F38" s="9">
        <v>117.59</v>
      </c>
      <c r="G38" s="9">
        <v>114.97</v>
      </c>
      <c r="H38" s="9">
        <v>106.07</v>
      </c>
      <c r="I38">
        <v>108.57</v>
      </c>
      <c r="J38">
        <v>113.87</v>
      </c>
    </row>
    <row r="39" spans="1:10" x14ac:dyDescent="0.3">
      <c r="A39" t="s">
        <v>82</v>
      </c>
      <c r="B39" t="s">
        <v>205</v>
      </c>
      <c r="C39" s="9">
        <v>105.46</v>
      </c>
      <c r="D39" s="9">
        <v>103.77</v>
      </c>
      <c r="E39" s="9">
        <v>103.72</v>
      </c>
      <c r="F39" s="9">
        <v>105.68</v>
      </c>
      <c r="G39" s="9">
        <v>108.39</v>
      </c>
      <c r="H39" s="9">
        <v>97.97</v>
      </c>
      <c r="I39">
        <v>101.07</v>
      </c>
      <c r="J39">
        <v>110.38</v>
      </c>
    </row>
    <row r="40" spans="1:10" x14ac:dyDescent="0.3">
      <c r="A40" t="s">
        <v>83</v>
      </c>
      <c r="B40" t="s">
        <v>205</v>
      </c>
      <c r="C40" s="9">
        <v>48.35</v>
      </c>
      <c r="D40" s="9">
        <v>57.02</v>
      </c>
      <c r="E40" s="9">
        <v>57.2</v>
      </c>
      <c r="F40" s="9">
        <v>52.59</v>
      </c>
      <c r="G40" s="9">
        <v>50.35</v>
      </c>
      <c r="H40" s="9">
        <v>45.73</v>
      </c>
      <c r="I40">
        <v>47.26</v>
      </c>
      <c r="J40">
        <v>39.43</v>
      </c>
    </row>
    <row r="41" spans="1:10" x14ac:dyDescent="0.3">
      <c r="A41" t="s">
        <v>206</v>
      </c>
      <c r="B41" t="s">
        <v>205</v>
      </c>
      <c r="C41" s="9">
        <v>117.57</v>
      </c>
      <c r="D41" s="9">
        <v>118.79</v>
      </c>
      <c r="E41" s="9">
        <v>121.07</v>
      </c>
      <c r="F41" s="9">
        <v>120.61</v>
      </c>
      <c r="G41" s="9">
        <v>118.85</v>
      </c>
      <c r="H41" s="9">
        <v>113.05</v>
      </c>
      <c r="I41">
        <v>113.85</v>
      </c>
      <c r="J41">
        <v>116.16</v>
      </c>
    </row>
    <row r="42" spans="1:10" x14ac:dyDescent="0.3">
      <c r="A42" t="s">
        <v>84</v>
      </c>
      <c r="B42" t="s">
        <v>205</v>
      </c>
      <c r="C42" s="9">
        <v>116.73</v>
      </c>
      <c r="D42" s="9">
        <v>118.69</v>
      </c>
      <c r="E42" s="9">
        <v>120.65</v>
      </c>
      <c r="F42" s="9">
        <v>120.23</v>
      </c>
      <c r="G42" s="9">
        <v>118.29</v>
      </c>
      <c r="H42" s="9">
        <v>111.46</v>
      </c>
      <c r="I42">
        <v>113.24</v>
      </c>
      <c r="J42">
        <v>115.82</v>
      </c>
    </row>
    <row r="43" spans="1:10" x14ac:dyDescent="0.3">
      <c r="A43" t="s">
        <v>85</v>
      </c>
      <c r="B43" t="s">
        <v>205</v>
      </c>
      <c r="C43" s="9">
        <v>109.2</v>
      </c>
      <c r="D43" s="9">
        <v>108.2</v>
      </c>
      <c r="E43" s="9">
        <v>114.29</v>
      </c>
      <c r="F43" s="9">
        <v>112.43</v>
      </c>
      <c r="G43" s="9">
        <v>111.21</v>
      </c>
      <c r="H43" s="9">
        <v>98.98</v>
      </c>
      <c r="I43">
        <v>101.82</v>
      </c>
      <c r="J43">
        <v>111.92</v>
      </c>
    </row>
    <row r="44" spans="1:10" x14ac:dyDescent="0.3">
      <c r="A44" t="s">
        <v>86</v>
      </c>
      <c r="B44" t="s">
        <v>205</v>
      </c>
      <c r="C44" s="9">
        <v>106.76</v>
      </c>
      <c r="D44" s="9">
        <v>104.84</v>
      </c>
      <c r="E44" s="9">
        <v>109.7</v>
      </c>
      <c r="F44" s="9">
        <v>108.18</v>
      </c>
      <c r="G44" s="9">
        <v>109.76</v>
      </c>
      <c r="H44" s="9">
        <v>99.03</v>
      </c>
      <c r="I44">
        <v>101.69</v>
      </c>
      <c r="J44">
        <v>111.39</v>
      </c>
    </row>
    <row r="45" spans="1:10" x14ac:dyDescent="0.3">
      <c r="A45" t="s">
        <v>87</v>
      </c>
      <c r="B45" t="s">
        <v>205</v>
      </c>
      <c r="C45" s="9">
        <v>106.59</v>
      </c>
      <c r="D45" s="9">
        <v>104.87</v>
      </c>
      <c r="E45" s="9">
        <v>106.01</v>
      </c>
      <c r="F45" s="9">
        <v>106.98</v>
      </c>
      <c r="G45" s="9">
        <v>109.46</v>
      </c>
      <c r="H45" s="9">
        <v>99.37</v>
      </c>
      <c r="I45">
        <v>101.99</v>
      </c>
      <c r="J45">
        <v>111.62</v>
      </c>
    </row>
    <row r="46" spans="1:10" x14ac:dyDescent="0.3">
      <c r="A46" t="s">
        <v>88</v>
      </c>
      <c r="B46" t="s">
        <v>205</v>
      </c>
      <c r="C46" s="9">
        <v>107.02</v>
      </c>
      <c r="D46" s="9">
        <v>105.07</v>
      </c>
      <c r="E46" s="9">
        <v>104.84</v>
      </c>
      <c r="F46" s="9">
        <v>106.98</v>
      </c>
      <c r="G46" s="9">
        <v>109.2</v>
      </c>
      <c r="H46" s="9">
        <v>99.56</v>
      </c>
      <c r="I46">
        <v>102.18</v>
      </c>
      <c r="J46">
        <v>111.24</v>
      </c>
    </row>
    <row r="47" spans="1:10" x14ac:dyDescent="0.3">
      <c r="A47" t="s">
        <v>89</v>
      </c>
      <c r="B47" t="s">
        <v>205</v>
      </c>
      <c r="C47" s="9">
        <v>30.65</v>
      </c>
      <c r="D47" s="9">
        <v>30.64</v>
      </c>
      <c r="E47" s="9">
        <v>30.74</v>
      </c>
      <c r="F47" s="9">
        <v>30.62</v>
      </c>
      <c r="G47" s="9">
        <v>30.62</v>
      </c>
      <c r="H47" s="9">
        <v>30.63</v>
      </c>
      <c r="I47">
        <v>30.6</v>
      </c>
      <c r="J47">
        <v>30.63</v>
      </c>
    </row>
    <row r="48" spans="1:10" x14ac:dyDescent="0.3">
      <c r="A48" t="s">
        <v>90</v>
      </c>
      <c r="B48" t="s">
        <v>205</v>
      </c>
      <c r="C48" s="9">
        <v>18.079999999999998</v>
      </c>
      <c r="D48" s="9">
        <v>25.01</v>
      </c>
      <c r="E48" s="9">
        <v>29.4</v>
      </c>
      <c r="F48" s="9">
        <v>22.57</v>
      </c>
      <c r="G48" s="9">
        <v>25.99</v>
      </c>
      <c r="H48" s="9">
        <v>16.98</v>
      </c>
      <c r="I48">
        <v>22.26</v>
      </c>
      <c r="J48">
        <v>18.940000000000001</v>
      </c>
    </row>
    <row r="49" spans="1:10" x14ac:dyDescent="0.3">
      <c r="A49" t="s">
        <v>91</v>
      </c>
      <c r="B49" t="s">
        <v>205</v>
      </c>
      <c r="C49" s="9">
        <v>36.799999999999997</v>
      </c>
      <c r="D49" s="9">
        <v>36.630000000000003</v>
      </c>
      <c r="E49" s="9">
        <v>36.68</v>
      </c>
      <c r="F49" s="9">
        <v>37.28</v>
      </c>
      <c r="G49" s="9">
        <v>39.07</v>
      </c>
      <c r="H49" s="9">
        <v>37.1</v>
      </c>
      <c r="I49">
        <v>37.090000000000003</v>
      </c>
      <c r="J49">
        <v>36.840000000000003</v>
      </c>
    </row>
    <row r="50" spans="1:10" x14ac:dyDescent="0.3">
      <c r="A50" t="s">
        <v>92</v>
      </c>
      <c r="B50" t="s">
        <v>205</v>
      </c>
      <c r="C50" s="9">
        <v>48.25</v>
      </c>
      <c r="D50" s="9">
        <v>52.63</v>
      </c>
      <c r="E50" s="9">
        <v>49.43</v>
      </c>
      <c r="F50" s="9">
        <v>46.17</v>
      </c>
      <c r="G50" s="9">
        <v>47.98</v>
      </c>
      <c r="H50" s="9">
        <v>38.06</v>
      </c>
      <c r="I50">
        <v>41.48</v>
      </c>
      <c r="J50">
        <v>39.770000000000003</v>
      </c>
    </row>
    <row r="51" spans="1:10" x14ac:dyDescent="0.3">
      <c r="A51" t="s">
        <v>13</v>
      </c>
      <c r="B51" t="s">
        <v>205</v>
      </c>
      <c r="C51" s="9">
        <v>43.26</v>
      </c>
      <c r="D51" s="9">
        <v>50.54</v>
      </c>
      <c r="E51" s="9">
        <v>49.37</v>
      </c>
      <c r="F51" s="9">
        <v>43.55</v>
      </c>
      <c r="G51" s="9">
        <v>47.16</v>
      </c>
      <c r="H51" s="9">
        <v>40.71</v>
      </c>
      <c r="I51">
        <v>41.86</v>
      </c>
      <c r="J51">
        <v>37.869999999999997</v>
      </c>
    </row>
    <row r="52" spans="1:10" x14ac:dyDescent="0.3">
      <c r="A52" t="s">
        <v>215</v>
      </c>
      <c r="C52" s="9">
        <v>10</v>
      </c>
      <c r="D52" s="9">
        <v>55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114F-AA3A-42AA-9C1F-52087F3C7250}">
  <dimension ref="A1:J139"/>
  <sheetViews>
    <sheetView zoomScale="55" zoomScaleNormal="55" workbookViewId="0">
      <selection activeCell="G7" sqref="G7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5.554687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1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A'!C:C),"")</f>
        <v>89.77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4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A'!C:C),"")</f>
        <v>166.93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67</v>
      </c>
      <c r="B15">
        <f>IFERROR(_xlfn.XLOOKUP(A15,'Appendix A'!A:A,'Appendix A'!C:C),"")</f>
        <v>1016.6</v>
      </c>
      <c r="C15" t="s">
        <v>238</v>
      </c>
      <c r="D15" t="s">
        <v>235</v>
      </c>
      <c r="E15" t="e" cm="1">
        <f t="array" ref="E15">_xll.ReadKSpice(_xlfn.CONCAT("/",$B$1,"/",$B$2,"/",D15,"@V_Unit=",F15))</f>
        <v>#N/A</v>
      </c>
      <c r="F15" t="s">
        <v>218</v>
      </c>
      <c r="G15" t="e">
        <f t="shared" si="0"/>
        <v>#N/A</v>
      </c>
      <c r="H15" t="s">
        <v>239</v>
      </c>
    </row>
    <row r="16" spans="1:10" x14ac:dyDescent="0.3">
      <c r="A16" t="s">
        <v>25</v>
      </c>
      <c r="B16">
        <f>IFERROR(_xlfn.XLOOKUP(A16,'Appendix A'!A:A,'Appendix A'!C:C),"")</f>
        <v>49.1</v>
      </c>
      <c r="C16" t="s">
        <v>107</v>
      </c>
      <c r="D16" t="s">
        <v>113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37</v>
      </c>
    </row>
    <row r="17" spans="1:8" x14ac:dyDescent="0.3">
      <c r="A17" t="s">
        <v>25</v>
      </c>
      <c r="B17">
        <f>IFERROR(_xlfn.XLOOKUP(A17,'Appendix A'!A:A,'Appendix A'!C:C),"")</f>
        <v>49.1</v>
      </c>
      <c r="C17" t="s">
        <v>38</v>
      </c>
      <c r="D17" t="s">
        <v>220</v>
      </c>
      <c r="E17" t="e" cm="1">
        <f t="array" ref="E17">_xll.ReadKSpice(_xlfn.CONCAT("/",$B$1,"/",$B$2,"/",D17,"@V_Unit=",F17))</f>
        <v>#N/A</v>
      </c>
      <c r="F17" t="s">
        <v>14</v>
      </c>
      <c r="G17" t="e">
        <f t="shared" si="0"/>
        <v>#N/A</v>
      </c>
      <c r="H17" t="s">
        <v>108</v>
      </c>
    </row>
    <row r="18" spans="1:8" x14ac:dyDescent="0.3">
      <c r="A18" t="s">
        <v>63</v>
      </c>
      <c r="B18">
        <f>IFERROR(_xlfn.XLOOKUP(A18,'Appendix A'!A:A,'Appendix A'!C:C),"")</f>
        <v>6.82</v>
      </c>
      <c r="C18" t="s">
        <v>40</v>
      </c>
      <c r="D18" t="s">
        <v>219</v>
      </c>
      <c r="E18" t="e" cm="1">
        <f t="array" ref="E18">_xll.ReadKSpice(_xlfn.CONCAT("/",$B$1,"/",$B$2,"/",D18,"@V_Unit=",F18))</f>
        <v>#N/A</v>
      </c>
      <c r="F18" t="s">
        <v>41</v>
      </c>
      <c r="G18" t="e">
        <f t="shared" si="0"/>
        <v>#N/A</v>
      </c>
      <c r="H18" t="s">
        <v>39</v>
      </c>
    </row>
    <row r="19" spans="1:8" x14ac:dyDescent="0.3">
      <c r="A19" t="s">
        <v>16</v>
      </c>
      <c r="B19">
        <f>IFERROR(_xlfn.XLOOKUP(A19,'Appendix A'!A:A,'Appendix A'!C:C),"")</f>
        <v>42.18</v>
      </c>
      <c r="C19" t="s">
        <v>231</v>
      </c>
      <c r="D19" t="s">
        <v>232</v>
      </c>
      <c r="E19" t="e" cm="1">
        <f t="array" ref="E19">_xll.ReadKSpice(_xlfn.CONCAT("/",$B$1,"/",$B$2,"/",D19,"@V_Unit=",F19))</f>
        <v>#N/A</v>
      </c>
      <c r="F19" t="s">
        <v>14</v>
      </c>
      <c r="G19" t="e">
        <f t="shared" si="0"/>
        <v>#N/A</v>
      </c>
      <c r="H19" t="s">
        <v>42</v>
      </c>
    </row>
    <row r="20" spans="1:8" x14ac:dyDescent="0.3">
      <c r="B20">
        <v>0.3</v>
      </c>
      <c r="C20" t="s">
        <v>105</v>
      </c>
      <c r="D20" t="s">
        <v>114</v>
      </c>
      <c r="E20" t="e" cm="1">
        <f t="array" ref="E20">_xll.ReadKSpice(_xlfn.CONCAT("/",$B$1,"/",$B$2,"/",D20,"@V_Unit=",F20))</f>
        <v>#N/A</v>
      </c>
      <c r="F20" t="s">
        <v>43</v>
      </c>
      <c r="G20" t="e">
        <f t="shared" si="0"/>
        <v>#N/A</v>
      </c>
      <c r="H20" t="s">
        <v>44</v>
      </c>
    </row>
    <row r="21" spans="1:8" x14ac:dyDescent="0.3">
      <c r="A21" t="s">
        <v>47</v>
      </c>
      <c r="B21">
        <f>IFERROR(_xlfn.XLOOKUP(A21,'Appendix A'!A:A,'Appendix A'!C:C),"")</f>
        <v>1014.07</v>
      </c>
      <c r="C21" t="s">
        <v>46</v>
      </c>
      <c r="D21" t="s">
        <v>115</v>
      </c>
      <c r="E21" t="e" cm="1">
        <f t="array" ref="E21">_xll.ReadKSpice(_xlfn.CONCAT("/",$B$1,"/",$B$2,"/",D21,"@V_Unit=",F21))</f>
        <v>#N/A</v>
      </c>
      <c r="F21" t="s">
        <v>218</v>
      </c>
      <c r="G21" t="e">
        <f t="shared" si="0"/>
        <v>#N/A</v>
      </c>
      <c r="H21" t="s">
        <v>45</v>
      </c>
    </row>
    <row r="22" spans="1:8" x14ac:dyDescent="0.3">
      <c r="A22" t="s">
        <v>68</v>
      </c>
      <c r="B22">
        <f>IFERROR(_xlfn.XLOOKUP(A22,'Appendix A'!A:A,'Appendix A'!C:C),"")</f>
        <v>0.9</v>
      </c>
      <c r="C22" t="s">
        <v>49</v>
      </c>
      <c r="D22" t="s">
        <v>116</v>
      </c>
      <c r="E22" t="e" cm="1">
        <f t="array" ref="E22">_xll.ReadKSpice(_xlfn.CONCAT("/",$B$1,"/",$B$2,"/",D22,"@V_Unit=",F22))</f>
        <v>#N/A</v>
      </c>
      <c r="F22" t="s">
        <v>51</v>
      </c>
      <c r="G22" t="e">
        <f t="shared" si="0"/>
        <v>#N/A</v>
      </c>
      <c r="H22" t="s">
        <v>48</v>
      </c>
    </row>
    <row r="23" spans="1:8" x14ac:dyDescent="0.3">
      <c r="A23" t="s">
        <v>89</v>
      </c>
      <c r="B23">
        <f>IFERROR(_xlfn.XLOOKUP(A23,'Appendix A'!A:A,'Appendix A'!C:C),"")</f>
        <v>30.65</v>
      </c>
      <c r="C23" t="s">
        <v>53</v>
      </c>
      <c r="D23" t="s">
        <v>117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52</v>
      </c>
    </row>
    <row r="24" spans="1:8" x14ac:dyDescent="0.3">
      <c r="A24" t="s">
        <v>90</v>
      </c>
      <c r="B24">
        <f>IFERROR(_xlfn.XLOOKUP(A24,'Appendix A'!A:A,'Appendix A'!C:C),"")</f>
        <v>18.079999999999998</v>
      </c>
      <c r="C24" t="s">
        <v>55</v>
      </c>
      <c r="D24" t="s">
        <v>118</v>
      </c>
      <c r="E24" t="e" cm="1">
        <f t="array" ref="E24">_xll.ReadKSpice(_xlfn.CONCAT("/",$B$1,"/",$B$2,"/",D24,"@V_Unit=",F24))</f>
        <v>#N/A</v>
      </c>
      <c r="F24" t="s">
        <v>14</v>
      </c>
      <c r="G24" t="e">
        <f t="shared" si="0"/>
        <v>#N/A</v>
      </c>
      <c r="H24" t="s">
        <v>54</v>
      </c>
    </row>
    <row r="25" spans="1:8" x14ac:dyDescent="0.3">
      <c r="G25" t="s">
        <v>202</v>
      </c>
    </row>
    <row r="26" spans="1:8" x14ac:dyDescent="0.3">
      <c r="A26" s="6" t="s">
        <v>10</v>
      </c>
      <c r="B26" s="7"/>
      <c r="C26" s="7"/>
      <c r="D26" s="7"/>
      <c r="E26" s="7"/>
      <c r="F26" s="7"/>
      <c r="G26" s="7" t="s">
        <v>202</v>
      </c>
      <c r="H26" s="7"/>
    </row>
    <row r="27" spans="1:8" x14ac:dyDescent="0.3">
      <c r="A27" t="s">
        <v>11</v>
      </c>
      <c r="B27">
        <f>IFERROR(_xlfn.XLOOKUP(A27,'Appendix A'!A:A,'Appendix A'!C:C),"")</f>
        <v>89.77</v>
      </c>
      <c r="C27" t="s">
        <v>12</v>
      </c>
      <c r="D27" t="s">
        <v>119</v>
      </c>
      <c r="E27" t="e" cm="1">
        <f t="array" ref="E27">_xll.ReadKSpice(_xlfn.CONCAT("/",$B$1,"/",$B$2,"/",D27,"@V_Unit=",F27))</f>
        <v>#N/A</v>
      </c>
      <c r="F27" t="s">
        <v>31</v>
      </c>
      <c r="G27" t="e">
        <f t="shared" ref="G27:G32" si="1">100*(E27-B27)/B27</f>
        <v>#N/A</v>
      </c>
    </row>
    <row r="28" spans="1:8" x14ac:dyDescent="0.3">
      <c r="A28" t="s">
        <v>67</v>
      </c>
      <c r="B28">
        <f>IFERROR(_xlfn.XLOOKUP(A28,'Appendix A'!A:A,'Appendix A'!C:C),"")</f>
        <v>1016.6</v>
      </c>
      <c r="C28" t="s">
        <v>236</v>
      </c>
      <c r="D28" t="s">
        <v>237</v>
      </c>
      <c r="E28" t="e" cm="1">
        <f t="array" ref="E28">_xll.ReadKSpice(_xlfn.CONCAT("/",$B$1,"/",$B$2,"/",D28,"@V_Unit=",F28))</f>
        <v>#N/A</v>
      </c>
      <c r="F28" t="s">
        <v>218</v>
      </c>
      <c r="G28" t="e">
        <f t="shared" si="1"/>
        <v>#N/A</v>
      </c>
    </row>
    <row r="29" spans="1:8" x14ac:dyDescent="0.3">
      <c r="A29" t="s">
        <v>13</v>
      </c>
      <c r="B29">
        <f>IFERROR(_xlfn.XLOOKUP(A29,'Appendix A'!A:A,'Appendix A'!C:C),"")</f>
        <v>43.26</v>
      </c>
      <c r="C29" t="s">
        <v>233</v>
      </c>
      <c r="D29" t="s">
        <v>234</v>
      </c>
      <c r="E29" t="e" cm="1">
        <f t="array" ref="E29">_xll.ReadKSpice(_xlfn.CONCAT("/",$B$1,"/",$B$2,"/",D29,"@V_Unit=",F29))</f>
        <v>#N/A</v>
      </c>
      <c r="F29" t="s">
        <v>14</v>
      </c>
      <c r="G29" t="e">
        <f t="shared" si="1"/>
        <v>#N/A</v>
      </c>
    </row>
    <row r="30" spans="1:8" x14ac:dyDescent="0.3">
      <c r="A30" t="s">
        <v>58</v>
      </c>
      <c r="B30">
        <f>IFERROR(_xlfn.XLOOKUP(A30,'Appendix A'!A:A,'Appendix A'!C:C),"")</f>
        <v>166.93</v>
      </c>
      <c r="C30" t="s">
        <v>120</v>
      </c>
      <c r="D30" t="s">
        <v>121</v>
      </c>
      <c r="E30" t="e" cm="1">
        <f t="array" ref="E30">_xll.ReadKSpice(_xlfn.CONCAT("/",$B$1,"/",$B$2,"/",D30,"@V_Unit=",F30))</f>
        <v>#N/A</v>
      </c>
      <c r="F30" t="s">
        <v>33</v>
      </c>
      <c r="G30" t="e">
        <f t="shared" si="1"/>
        <v>#N/A</v>
      </c>
    </row>
    <row r="31" spans="1:8" x14ac:dyDescent="0.3">
      <c r="A31" t="s">
        <v>25</v>
      </c>
      <c r="B31">
        <f>IFERROR(_xlfn.XLOOKUP(A31,'Appendix A'!A:A,'Appendix A'!C:C),"")</f>
        <v>49.1</v>
      </c>
      <c r="C31" t="s">
        <v>109</v>
      </c>
      <c r="D31" t="s">
        <v>110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37</v>
      </c>
    </row>
    <row r="32" spans="1:8" x14ac:dyDescent="0.3">
      <c r="A32" t="s">
        <v>25</v>
      </c>
      <c r="B32">
        <f>IFERROR(_xlfn.XLOOKUP(A32,'Appendix A'!A:A,'Appendix A'!C:C),"")</f>
        <v>49.1</v>
      </c>
      <c r="C32" t="s">
        <v>221</v>
      </c>
      <c r="D32" t="s">
        <v>222</v>
      </c>
      <c r="E32" t="e" cm="1">
        <f t="array" ref="E32">_xll.ReadKSpice(_xlfn.CONCAT("/",$B$1,"/",$B$2,"/",D32,"@V_Unit=",F32))</f>
        <v>#N/A</v>
      </c>
      <c r="F32" t="s">
        <v>14</v>
      </c>
      <c r="G32" t="e">
        <f t="shared" si="1"/>
        <v>#N/A</v>
      </c>
      <c r="H32" t="s">
        <v>108</v>
      </c>
    </row>
    <row r="33" spans="1:8" x14ac:dyDescent="0.3">
      <c r="G33" t="s">
        <v>202</v>
      </c>
    </row>
    <row r="34" spans="1:8" x14ac:dyDescent="0.3">
      <c r="A34" s="6" t="s">
        <v>15</v>
      </c>
      <c r="B34" s="7"/>
      <c r="C34" s="7"/>
      <c r="D34" s="7"/>
      <c r="E34" s="7"/>
      <c r="F34" s="7"/>
      <c r="G34" s="7" t="s">
        <v>202</v>
      </c>
      <c r="H34" s="7"/>
    </row>
    <row r="35" spans="1:8" x14ac:dyDescent="0.3">
      <c r="A35" t="s">
        <v>56</v>
      </c>
      <c r="B35">
        <f>IFERROR(_xlfn.XLOOKUP(A35,'Appendix A'!A:A,'Appendix A'!C:C),"")</f>
        <v>3.52</v>
      </c>
      <c r="C35" t="s">
        <v>122</v>
      </c>
      <c r="D35" t="s">
        <v>123</v>
      </c>
      <c r="E35" t="e" cm="1">
        <f t="array" ref="E35">_xll.ReadKSpice(_xlfn.CONCAT("/",$B$1,"/",$B$2,"/",D35,"@V_Unit=",F35))</f>
        <v>#N/A</v>
      </c>
      <c r="F35" t="s">
        <v>229</v>
      </c>
      <c r="G35" t="e">
        <f>100*(E35-B35)/B35</f>
        <v>#N/A</v>
      </c>
      <c r="H35" t="s">
        <v>96</v>
      </c>
    </row>
    <row r="36" spans="1:8" x14ac:dyDescent="0.3">
      <c r="A36" t="s">
        <v>124</v>
      </c>
      <c r="B36" t="str">
        <f>IFERROR(_xlfn.XLOOKUP(A36,'Appendix A'!A:A,'Appendix A'!D:D),"")</f>
        <v/>
      </c>
      <c r="C36" t="s">
        <v>128</v>
      </c>
      <c r="D36" t="s">
        <v>129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126</v>
      </c>
    </row>
    <row r="37" spans="1:8" x14ac:dyDescent="0.3">
      <c r="A37" t="s">
        <v>125</v>
      </c>
      <c r="B37" t="str">
        <f>IFERROR(_xlfn.XLOOKUP(A37,'Appendix A'!A:A,'Appendix A'!D:D),"")</f>
        <v/>
      </c>
      <c r="C37" t="s">
        <v>128</v>
      </c>
      <c r="D37" t="s">
        <v>130</v>
      </c>
      <c r="E37" t="e" cm="1">
        <f t="array" ref="E37">_xll.ReadKSpice(_xlfn.CONCAT("/",$B$1,"/",$B$2,"/",D37,"@V_Unit=",F37))</f>
        <v>#N/A</v>
      </c>
      <c r="F37" t="s">
        <v>229</v>
      </c>
      <c r="G37" t="s">
        <v>202</v>
      </c>
      <c r="H37" t="s">
        <v>127</v>
      </c>
    </row>
    <row r="38" spans="1:8" x14ac:dyDescent="0.3">
      <c r="A38" t="s">
        <v>57</v>
      </c>
      <c r="B38">
        <f>IFERROR(_xlfn.XLOOKUP(A38,'Appendix A'!A:A,'Appendix A'!C:C),"")</f>
        <v>0.28999999999999998</v>
      </c>
      <c r="C38" t="s">
        <v>128</v>
      </c>
      <c r="E38" t="e">
        <f>E37+E36</f>
        <v>#N/A</v>
      </c>
      <c r="F38" t="s">
        <v>229</v>
      </c>
      <c r="G38" t="e">
        <f>100*(E38-B38)/B38</f>
        <v>#N/A</v>
      </c>
      <c r="H38" t="s">
        <v>230</v>
      </c>
    </row>
    <row r="39" spans="1:8" x14ac:dyDescent="0.3">
      <c r="A39" t="s">
        <v>47</v>
      </c>
      <c r="B39">
        <f>IFERROR(_xlfn.XLOOKUP(A39,'Appendix A'!A:A,'Appendix A'!C:C),"")</f>
        <v>1014.07</v>
      </c>
      <c r="C39" t="s">
        <v>131</v>
      </c>
      <c r="D39" t="s">
        <v>133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ref="G39:G50" si="2">100*(E39-B39)/B39</f>
        <v>#N/A</v>
      </c>
    </row>
    <row r="40" spans="1:8" x14ac:dyDescent="0.3">
      <c r="A40" t="s">
        <v>66</v>
      </c>
      <c r="B40">
        <f>IFERROR(_xlfn.XLOOKUP(A40,'Appendix A'!A:A,'Appendix A'!C:C),"")</f>
        <v>1019.19</v>
      </c>
      <c r="C40" t="s">
        <v>132</v>
      </c>
      <c r="D40" t="s">
        <v>134</v>
      </c>
      <c r="E40" t="e" cm="1">
        <f t="array" ref="E40">_xll.ReadKSpice(_xlfn.CONCAT("/",$B$1,"/",$B$2,"/",D40,"@V_Unit=",F40))</f>
        <v>#N/A</v>
      </c>
      <c r="F40" t="s">
        <v>218</v>
      </c>
      <c r="G40" t="e">
        <f t="shared" si="2"/>
        <v>#N/A</v>
      </c>
    </row>
    <row r="41" spans="1:8" x14ac:dyDescent="0.3">
      <c r="A41" t="s">
        <v>16</v>
      </c>
      <c r="B41">
        <f>IFERROR(_xlfn.XLOOKUP(A41,'Appendix A'!A:A,'Appendix A'!C:C),"")</f>
        <v>42.18</v>
      </c>
      <c r="C41" t="s">
        <v>233</v>
      </c>
      <c r="D41" t="s">
        <v>234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  <c r="H41" t="s">
        <v>240</v>
      </c>
    </row>
    <row r="42" spans="1:8" x14ac:dyDescent="0.3">
      <c r="A42" t="s">
        <v>73</v>
      </c>
      <c r="B42">
        <f>IFERROR(_xlfn.XLOOKUP(A42,'Appendix A'!A:A,'Appendix A'!C:C),"")</f>
        <v>45.14</v>
      </c>
      <c r="C42" t="s">
        <v>137</v>
      </c>
      <c r="D42" t="s">
        <v>146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17</v>
      </c>
      <c r="B43">
        <f>IFERROR(_xlfn.XLOOKUP(A43,'Appendix A'!A:A,'Appendix A'!C:C),"")</f>
        <v>46.62</v>
      </c>
      <c r="C43" t="s">
        <v>18</v>
      </c>
      <c r="D43" t="s">
        <v>147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19</v>
      </c>
      <c r="B44">
        <f>IFERROR(_xlfn.XLOOKUP(A44,'Appendix A'!A:A,'Appendix A'!C:C),"")</f>
        <v>49.38</v>
      </c>
      <c r="C44" t="s">
        <v>138</v>
      </c>
      <c r="D44" t="s">
        <v>148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20</v>
      </c>
      <c r="B45">
        <f>IFERROR(_xlfn.XLOOKUP(A45,'Appendix A'!A:A,'Appendix A'!C:C),"")</f>
        <v>50.97</v>
      </c>
      <c r="C45" t="s">
        <v>139</v>
      </c>
      <c r="D45" t="s">
        <v>149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21</v>
      </c>
      <c r="B46">
        <f>IFERROR(_xlfn.XLOOKUP(A46,'Appendix A'!A:A,'Appendix A'!C:C),"")</f>
        <v>52.49</v>
      </c>
      <c r="C46" t="s">
        <v>140</v>
      </c>
      <c r="D46" t="s">
        <v>150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22</v>
      </c>
      <c r="B47">
        <f>IFERROR(_xlfn.XLOOKUP(A47,'Appendix A'!A:A,'Appendix A'!C:C),"")</f>
        <v>56.29</v>
      </c>
      <c r="C47" t="s">
        <v>141</v>
      </c>
      <c r="D47" t="s">
        <v>151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23</v>
      </c>
      <c r="B48">
        <f>IFERROR(_xlfn.XLOOKUP(A48,'Appendix A'!A:A,'Appendix A'!C:C),"")</f>
        <v>57.47</v>
      </c>
      <c r="C48" t="s">
        <v>142</v>
      </c>
      <c r="D48" t="s">
        <v>152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24</v>
      </c>
      <c r="B49">
        <f>IFERROR(_xlfn.XLOOKUP(A49,'Appendix A'!A:A,'Appendix A'!C:C),"")</f>
        <v>56.03</v>
      </c>
      <c r="C49" t="s">
        <v>143</v>
      </c>
      <c r="D49" t="s">
        <v>153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83</v>
      </c>
      <c r="B50">
        <f>IFERROR(_xlfn.XLOOKUP(A50,'Appendix A'!A:A,'Appendix A'!C:C),"")</f>
        <v>48.35</v>
      </c>
      <c r="C50" t="s">
        <v>144</v>
      </c>
      <c r="D50" t="s">
        <v>154</v>
      </c>
      <c r="E50" t="e" cm="1">
        <f t="array" ref="E50">_xll.ReadKSpice(_xlfn.CONCAT("/",$B$1,"/",$B$2,"/",D50,"@V_Unit=",F50))</f>
        <v>#N/A</v>
      </c>
      <c r="F50" t="s">
        <v>14</v>
      </c>
      <c r="G50" t="e">
        <f t="shared" si="2"/>
        <v>#N/A</v>
      </c>
    </row>
    <row r="51" spans="1:8" x14ac:dyDescent="0.3">
      <c r="A51" t="s">
        <v>70</v>
      </c>
      <c r="B51">
        <f>IFERROR(_xlfn.XLOOKUP(A51,'Appendix A'!A:A,'Appendix A'!C:C),"")</f>
        <v>6.48</v>
      </c>
      <c r="F51" t="s">
        <v>217</v>
      </c>
      <c r="G51" t="s">
        <v>202</v>
      </c>
    </row>
    <row r="52" spans="1:8" x14ac:dyDescent="0.3">
      <c r="A52" t="s">
        <v>64</v>
      </c>
      <c r="B52">
        <f>IFERROR(_xlfn.XLOOKUP(A52,'Appendix A'!A:A,'Appendix A'!C:C),"")</f>
        <v>11.32</v>
      </c>
      <c r="F52" t="s">
        <v>217</v>
      </c>
      <c r="G52" t="s">
        <v>202</v>
      </c>
      <c r="H52" t="s">
        <v>103</v>
      </c>
    </row>
    <row r="53" spans="1:8" x14ac:dyDescent="0.3">
      <c r="A53" t="s">
        <v>104</v>
      </c>
      <c r="B53">
        <f>B51+B52</f>
        <v>17.8</v>
      </c>
      <c r="C53" t="s">
        <v>145</v>
      </c>
      <c r="D53" t="s">
        <v>155</v>
      </c>
      <c r="E53" t="e" cm="1">
        <f t="array" ref="E53">_xll.ReadKSpice(_xlfn.CONCAT("/",$B$1,"/",$B$2,"/",D53,"@V_Unit=",F53))</f>
        <v>#N/A</v>
      </c>
      <c r="F53" t="s">
        <v>217</v>
      </c>
      <c r="G53" t="e">
        <f>100*(E53-B53)/B53</f>
        <v>#N/A</v>
      </c>
      <c r="H53" t="s">
        <v>241</v>
      </c>
    </row>
    <row r="54" spans="1:8" x14ac:dyDescent="0.3">
      <c r="G54" t="s">
        <v>202</v>
      </c>
    </row>
    <row r="55" spans="1:8" x14ac:dyDescent="0.3">
      <c r="A55" s="6" t="s">
        <v>97</v>
      </c>
      <c r="B55" s="7"/>
      <c r="C55" s="7"/>
      <c r="D55" s="7"/>
      <c r="E55" s="7"/>
      <c r="F55" s="7"/>
      <c r="G55" s="7" t="s">
        <v>202</v>
      </c>
      <c r="H55" s="7"/>
    </row>
    <row r="56" spans="1:8" x14ac:dyDescent="0.3">
      <c r="A56" t="s">
        <v>59</v>
      </c>
      <c r="B56">
        <f>IFERROR(_xlfn.XLOOKUP(A56,'Appendix A'!A:A,'Appendix A'!C:C),"")</f>
        <v>171.04</v>
      </c>
      <c r="C56" t="s">
        <v>156</v>
      </c>
      <c r="D56" t="s">
        <v>157</v>
      </c>
      <c r="E56" t="e" cm="1">
        <f t="array" ref="E56">_xll.ReadKSpice(_xlfn.CONCAT("/",$B$1,"/",$B$2,"/",D56,"@V_Unit=",F56))</f>
        <v>#N/A</v>
      </c>
      <c r="F56" t="s">
        <v>33</v>
      </c>
      <c r="G56" t="e">
        <f>100*(E56-B56)/B56</f>
        <v>#N/A</v>
      </c>
    </row>
    <row r="57" spans="1:8" x14ac:dyDescent="0.3">
      <c r="A57" t="s">
        <v>74</v>
      </c>
      <c r="B57">
        <f>IFERROR(_xlfn.XLOOKUP(A57,'Appendix A'!A:A,'Appendix A'!C:C),"")</f>
        <v>44.96</v>
      </c>
      <c r="F57" t="s">
        <v>14</v>
      </c>
      <c r="G57" t="s">
        <v>202</v>
      </c>
      <c r="H57" t="s">
        <v>98</v>
      </c>
    </row>
    <row r="58" spans="1:8" x14ac:dyDescent="0.3">
      <c r="A58" t="s">
        <v>75</v>
      </c>
      <c r="B58">
        <f>IFERROR(_xlfn.XLOOKUP(A58,'Appendix A'!A:A,'Appendix A'!C:C),"")</f>
        <v>43.37</v>
      </c>
      <c r="C58" t="s">
        <v>158</v>
      </c>
      <c r="D58" t="s">
        <v>159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A59" t="s">
        <v>76</v>
      </c>
      <c r="B59">
        <f>IFERROR(_xlfn.XLOOKUP(A59,'Appendix A'!A:A,'Appendix A'!C:C),"")</f>
        <v>44.15</v>
      </c>
      <c r="C59" t="s">
        <v>161</v>
      </c>
      <c r="D59" t="s">
        <v>160</v>
      </c>
      <c r="E59" t="e" cm="1">
        <f t="array" ref="E59">_xll.ReadKSpice(_xlfn.CONCAT("/",$B$1,"/",$B$2,"/",D59,"@V_Unit=",F59))</f>
        <v>#N/A</v>
      </c>
      <c r="F59" t="s">
        <v>14</v>
      </c>
      <c r="G59" t="e">
        <f>100*(E59-B59)/B59</f>
        <v>#N/A</v>
      </c>
    </row>
    <row r="60" spans="1:8" x14ac:dyDescent="0.3">
      <c r="G60" t="s">
        <v>202</v>
      </c>
    </row>
    <row r="61" spans="1:8" x14ac:dyDescent="0.3">
      <c r="A61" s="6" t="s">
        <v>26</v>
      </c>
      <c r="B61" s="7"/>
      <c r="C61" s="7"/>
      <c r="D61" s="7"/>
      <c r="E61" s="7"/>
      <c r="F61" s="7"/>
      <c r="G61" s="7" t="s">
        <v>202</v>
      </c>
      <c r="H61" s="7"/>
    </row>
    <row r="62" spans="1:8" x14ac:dyDescent="0.3">
      <c r="A62" t="s">
        <v>84</v>
      </c>
      <c r="B62">
        <f>IFERROR(_xlfn.XLOOKUP(A62,'Appendix A'!A:A,'Appendix A'!C:C),"")</f>
        <v>116.73</v>
      </c>
      <c r="C62" t="s">
        <v>162</v>
      </c>
      <c r="D62" t="s">
        <v>169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ref="G62:G69" si="3">100*(E62-B62)/B62</f>
        <v>#N/A</v>
      </c>
    </row>
    <row r="63" spans="1:8" x14ac:dyDescent="0.3">
      <c r="A63" t="s">
        <v>85</v>
      </c>
      <c r="B63">
        <f>IFERROR(_xlfn.XLOOKUP(A63,'Appendix A'!A:A,'Appendix A'!C:C),"")</f>
        <v>109.2</v>
      </c>
      <c r="C63" t="s">
        <v>163</v>
      </c>
      <c r="D63" t="s">
        <v>170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86</v>
      </c>
      <c r="B64">
        <f>IFERROR(_xlfn.XLOOKUP(A64,'Appendix A'!A:A,'Appendix A'!C:C),"")</f>
        <v>106.76</v>
      </c>
      <c r="C64" t="s">
        <v>164</v>
      </c>
      <c r="D64" t="s">
        <v>171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87</v>
      </c>
      <c r="B65">
        <f>IFERROR(_xlfn.XLOOKUP(A65,'Appendix A'!A:A,'Appendix A'!C:C),"")</f>
        <v>106.59</v>
      </c>
      <c r="C65" t="s">
        <v>165</v>
      </c>
      <c r="D65" t="s">
        <v>172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88</v>
      </c>
      <c r="B66">
        <f>IFERROR(_xlfn.XLOOKUP(A66,'Appendix A'!A:A,'Appendix A'!C:C),"")</f>
        <v>107.02</v>
      </c>
      <c r="C66" t="s">
        <v>166</v>
      </c>
      <c r="D66" t="s">
        <v>173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79</v>
      </c>
      <c r="B67">
        <f>IFERROR(_xlfn.XLOOKUP(A67,'Appendix A'!A:A,'Appendix A'!C:C),"")</f>
        <v>107.81</v>
      </c>
      <c r="C67" t="s">
        <v>227</v>
      </c>
      <c r="D67" t="s">
        <v>228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81</v>
      </c>
      <c r="B68">
        <f>IFERROR(_xlfn.XLOOKUP(A68,'Appendix A'!A:A,'Appendix A'!C:C),"")</f>
        <v>112.66</v>
      </c>
      <c r="C68" t="s">
        <v>167</v>
      </c>
      <c r="D68" t="s">
        <v>174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A69" t="s">
        <v>82</v>
      </c>
      <c r="B69">
        <f>IFERROR(_xlfn.XLOOKUP(A69,'Appendix A'!A:A,'Appendix A'!C:C),"")</f>
        <v>105.46</v>
      </c>
      <c r="C69" t="s">
        <v>168</v>
      </c>
      <c r="D69" t="s">
        <v>175</v>
      </c>
      <c r="E69" t="e" cm="1">
        <f t="array" ref="E69">_xll.ReadKSpice(_xlfn.CONCAT("/",$B$1,"/",$B$2,"/",D69,"@V_Unit=",F69))</f>
        <v>#N/A</v>
      </c>
      <c r="F69" t="s">
        <v>14</v>
      </c>
      <c r="G69" t="e">
        <f t="shared" si="3"/>
        <v>#N/A</v>
      </c>
    </row>
    <row r="70" spans="1:8" x14ac:dyDescent="0.3">
      <c r="G70" t="s">
        <v>202</v>
      </c>
    </row>
    <row r="71" spans="1:8" x14ac:dyDescent="0.3">
      <c r="A71" s="8" t="s">
        <v>27</v>
      </c>
      <c r="B71" s="7"/>
      <c r="C71" s="7"/>
      <c r="D71" s="7"/>
      <c r="E71" s="7"/>
      <c r="F71" s="7"/>
      <c r="G71" s="7" t="s">
        <v>202</v>
      </c>
      <c r="H71" s="7"/>
    </row>
    <row r="72" spans="1:8" x14ac:dyDescent="0.3">
      <c r="A72" t="s">
        <v>60</v>
      </c>
      <c r="B72">
        <f>IFERROR(_xlfn.XLOOKUP(A72,'Appendix A'!A:A,'Appendix A'!C:C),"")</f>
        <v>2.91</v>
      </c>
      <c r="C72" t="s">
        <v>176</v>
      </c>
      <c r="D72" t="s">
        <v>181</v>
      </c>
      <c r="E72" t="e" cm="1">
        <f t="array" ref="E72">_xll.ReadKSpice(_xlfn.CONCAT("/",$B$1,"/",$B$2,"/",D72,"@V_Unit=",F72))</f>
        <v>#N/A</v>
      </c>
      <c r="F72" t="s">
        <v>33</v>
      </c>
      <c r="G72" t="e">
        <f t="shared" ref="G72:G77" si="4">100*(E72-B72)/B72</f>
        <v>#N/A</v>
      </c>
    </row>
    <row r="73" spans="1:8" x14ac:dyDescent="0.3">
      <c r="A73" t="s">
        <v>63</v>
      </c>
      <c r="B73">
        <f>IFERROR(_xlfn.XLOOKUP(A73,'Appendix A'!A:A,'Appendix A'!C:C),"")</f>
        <v>6.82</v>
      </c>
      <c r="C73" t="s">
        <v>177</v>
      </c>
      <c r="D73" t="s">
        <v>182</v>
      </c>
      <c r="E73" t="e" cm="1">
        <f t="array" ref="E73">_xll.ReadKSpice(_xlfn.CONCAT("/",$B$1,"/",$B$2,"/",D73,"@V_Unit=",F73))</f>
        <v>#N/A</v>
      </c>
      <c r="F73" t="s">
        <v>41</v>
      </c>
      <c r="G73" t="e">
        <f t="shared" si="4"/>
        <v>#N/A</v>
      </c>
    </row>
    <row r="74" spans="1:8" x14ac:dyDescent="0.3">
      <c r="A74" t="s">
        <v>65</v>
      </c>
      <c r="B74">
        <f>IFERROR(_xlfn.XLOOKUP(A74,'Appendix A'!A:A,'Appendix A'!C:C),"")</f>
        <v>54.03</v>
      </c>
      <c r="C74" t="s">
        <v>226</v>
      </c>
      <c r="D74" t="s">
        <v>225</v>
      </c>
      <c r="E74" t="e" cm="1">
        <f t="array" ref="E74">_xll.ReadKSpice(_xlfn.CONCAT("/",$B$1,"/",$B$2,"/",D74,"@V_Unit=",F74))</f>
        <v>#N/A</v>
      </c>
      <c r="F74" t="s">
        <v>217</v>
      </c>
      <c r="G74" t="e">
        <f t="shared" si="4"/>
        <v>#N/A</v>
      </c>
    </row>
    <row r="75" spans="1:8" x14ac:dyDescent="0.3">
      <c r="A75" t="s">
        <v>68</v>
      </c>
      <c r="B75">
        <f>IFERROR(_xlfn.XLOOKUP(A75,'Appendix A'!A:A,'Appendix A'!C:C),"")</f>
        <v>0.9</v>
      </c>
      <c r="C75" t="s">
        <v>178</v>
      </c>
      <c r="D75" t="s">
        <v>183</v>
      </c>
      <c r="E75" t="e" cm="1">
        <f t="array" ref="E75">_xll.ReadKSpice(_xlfn.CONCAT("/",$B$1,"/",$B$2,"/",D75,"@V_Unit=",F75))</f>
        <v>#N/A</v>
      </c>
      <c r="F75" t="s">
        <v>51</v>
      </c>
      <c r="G75" t="e">
        <f t="shared" si="4"/>
        <v>#N/A</v>
      </c>
    </row>
    <row r="76" spans="1:8" x14ac:dyDescent="0.3">
      <c r="A76" t="s">
        <v>80</v>
      </c>
      <c r="B76">
        <f>IFERROR(_xlfn.XLOOKUP(A76,'Appendix A'!A:A,'Appendix A'!C:C),"")</f>
        <v>15.7</v>
      </c>
      <c r="C76" t="s">
        <v>179</v>
      </c>
      <c r="D76" t="s">
        <v>184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A77" t="s">
        <v>206</v>
      </c>
      <c r="B77">
        <f>IFERROR(_xlfn.XLOOKUP(A77,'Appendix A'!A:A,'Appendix A'!C:C),"")</f>
        <v>117.57</v>
      </c>
      <c r="C77" t="s">
        <v>180</v>
      </c>
      <c r="D77" t="s">
        <v>185</v>
      </c>
      <c r="E77" t="e" cm="1">
        <f t="array" ref="E77">_xll.ReadKSpice(_xlfn.CONCAT("/",$B$1,"/",$B$2,"/",D77,"@V_Unit=",F77))</f>
        <v>#N/A</v>
      </c>
      <c r="F77" t="s">
        <v>14</v>
      </c>
      <c r="G77" t="e">
        <f t="shared" si="4"/>
        <v>#N/A</v>
      </c>
    </row>
    <row r="78" spans="1:8" x14ac:dyDescent="0.3">
      <c r="G78" t="s">
        <v>202</v>
      </c>
    </row>
    <row r="79" spans="1:8" x14ac:dyDescent="0.3">
      <c r="A79" s="6" t="s">
        <v>28</v>
      </c>
      <c r="B79" s="7"/>
      <c r="C79" s="7"/>
      <c r="D79" s="7"/>
      <c r="E79" s="7"/>
      <c r="F79" s="7"/>
      <c r="G79" s="7" t="s">
        <v>202</v>
      </c>
      <c r="H79" s="7"/>
    </row>
    <row r="80" spans="1:8" x14ac:dyDescent="0.3">
      <c r="A80" t="s">
        <v>61</v>
      </c>
      <c r="B80">
        <f>IFERROR(_xlfn.XLOOKUP(A80,'Appendix A'!A:A,'Appendix A'!C:C),"")</f>
        <v>4.41</v>
      </c>
      <c r="C80" t="s">
        <v>186</v>
      </c>
      <c r="D80" t="s">
        <v>187</v>
      </c>
      <c r="E80" t="e" cm="1">
        <f t="array" ref="E80">_xll.ReadKSpice(_xlfn.CONCAT("/",$B$1,"/",$B$2,"/",D80,"@V_Unit=",F80))</f>
        <v>#N/A</v>
      </c>
      <c r="F80" t="s">
        <v>33</v>
      </c>
      <c r="G80" t="e">
        <f>100*(E80-B80)/B80</f>
        <v>#N/A</v>
      </c>
    </row>
    <row r="81" spans="1:8" x14ac:dyDescent="0.3">
      <c r="A81" t="s">
        <v>69</v>
      </c>
      <c r="B81">
        <f>IFERROR(_xlfn.XLOOKUP(A81,'Appendix A'!A:A,'Appendix A'!C:C),"")</f>
        <v>0.89</v>
      </c>
      <c r="C81" t="s">
        <v>223</v>
      </c>
      <c r="D81" t="s">
        <v>224</v>
      </c>
      <c r="E81" t="e" cm="1">
        <f t="array" ref="E81">_xll.ReadKSpice(_xlfn.CONCAT("/",$B$1,"/",$B$2,"/",D81,"@V_Unit=",F81))</f>
        <v>#N/A</v>
      </c>
      <c r="F81" t="s">
        <v>51</v>
      </c>
      <c r="G81" t="e">
        <f>100*(E81-B81)/B81</f>
        <v>#N/A</v>
      </c>
    </row>
    <row r="82" spans="1:8" x14ac:dyDescent="0.3">
      <c r="G82" t="s">
        <v>202</v>
      </c>
    </row>
    <row r="83" spans="1:8" x14ac:dyDescent="0.3">
      <c r="A83" s="6" t="s">
        <v>99</v>
      </c>
      <c r="B83" s="7" t="str">
        <f>IFERROR(_xlfn.XLOOKUP(A83,'Appendix A'!A:A,'Appendix A'!D:D),"")</f>
        <v/>
      </c>
      <c r="C83" s="7"/>
      <c r="D83" s="7"/>
      <c r="E83" s="7"/>
      <c r="F83" s="7"/>
      <c r="G83" s="7" t="s">
        <v>202</v>
      </c>
      <c r="H83" s="7"/>
    </row>
    <row r="84" spans="1:8" x14ac:dyDescent="0.3">
      <c r="A84" t="s">
        <v>92</v>
      </c>
      <c r="B84">
        <f>IFERROR(_xlfn.XLOOKUP(A84,'Appendix A'!A:A,'Appendix A'!C:C),"")</f>
        <v>48.25</v>
      </c>
      <c r="C84" t="s">
        <v>188</v>
      </c>
      <c r="D84" t="s">
        <v>191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</row>
    <row r="85" spans="1:8" x14ac:dyDescent="0.3">
      <c r="A85" t="s">
        <v>135</v>
      </c>
      <c r="C85" t="s">
        <v>189</v>
      </c>
      <c r="D85" t="s">
        <v>192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  <c r="H85" t="s">
        <v>136</v>
      </c>
    </row>
    <row r="86" spans="1:8" x14ac:dyDescent="0.3">
      <c r="A86" t="s">
        <v>78</v>
      </c>
      <c r="B86">
        <f>IFERROR(_xlfn.XLOOKUP(A86,'Appendix A'!A:A,'Appendix A'!C:C),"")</f>
        <v>109.87</v>
      </c>
      <c r="C86" t="s">
        <v>190</v>
      </c>
      <c r="D86" t="s">
        <v>193</v>
      </c>
      <c r="E86" t="e" cm="1">
        <f t="array" ref="E86">_xll.ReadKSpice(_xlfn.CONCAT("/",$B$1,"/",$B$2,"/",D86,"@V_Unit=",F86))</f>
        <v>#N/A</v>
      </c>
      <c r="F86" t="s">
        <v>14</v>
      </c>
      <c r="G86" t="e">
        <f>100*(E86-B86)/B86</f>
        <v>#N/A</v>
      </c>
    </row>
    <row r="87" spans="1:8" x14ac:dyDescent="0.3">
      <c r="G87" t="s">
        <v>202</v>
      </c>
    </row>
    <row r="88" spans="1:8" x14ac:dyDescent="0.3">
      <c r="A88" s="6" t="s">
        <v>100</v>
      </c>
      <c r="B88" s="7"/>
      <c r="C88" s="7"/>
      <c r="D88" s="7"/>
      <c r="E88" s="7"/>
      <c r="F88" s="7"/>
      <c r="G88" s="7" t="s">
        <v>202</v>
      </c>
      <c r="H88" s="7"/>
    </row>
    <row r="89" spans="1:8" x14ac:dyDescent="0.3">
      <c r="A89" t="s">
        <v>89</v>
      </c>
      <c r="B89">
        <f>IFERROR(_xlfn.XLOOKUP(A89,'Appendix A'!A:A,'Appendix A'!C:C),"")</f>
        <v>30.65</v>
      </c>
      <c r="C89" t="s">
        <v>194</v>
      </c>
      <c r="D89" t="s">
        <v>196</v>
      </c>
      <c r="E89" t="e" cm="1">
        <f t="array" ref="E89">_xll.ReadKSpice(_xlfn.CONCAT("/",$B$1,"/",$B$2,"/",D89,"@V_Unit=",F89))</f>
        <v>#N/A</v>
      </c>
      <c r="F89" t="s">
        <v>14</v>
      </c>
      <c r="G89" t="e">
        <f>100*(E89-B89)/B89</f>
        <v>#N/A</v>
      </c>
      <c r="H89" s="3"/>
    </row>
    <row r="90" spans="1:8" x14ac:dyDescent="0.3">
      <c r="G90" t="s">
        <v>202</v>
      </c>
    </row>
    <row r="91" spans="1:8" x14ac:dyDescent="0.3">
      <c r="A91" s="6" t="s">
        <v>101</v>
      </c>
      <c r="B91" s="7"/>
      <c r="C91" s="7"/>
      <c r="D91" s="7"/>
      <c r="E91" s="7"/>
      <c r="F91" s="7"/>
      <c r="G91" s="7" t="s">
        <v>202</v>
      </c>
      <c r="H91" s="7"/>
    </row>
    <row r="92" spans="1:8" x14ac:dyDescent="0.3">
      <c r="A92" t="s">
        <v>90</v>
      </c>
      <c r="B92">
        <f>IFERROR(_xlfn.XLOOKUP(A92,'Appendix A'!A:A,'Appendix A'!C:C),"")</f>
        <v>18.079999999999998</v>
      </c>
      <c r="C92" t="s">
        <v>195</v>
      </c>
      <c r="D92" t="s">
        <v>197</v>
      </c>
      <c r="E92" t="e" cm="1">
        <f t="array" ref="E92">_xll.ReadKSpice(_xlfn.CONCAT("/",$B$1,"/",$B$2,"/",D92,"@V_Unit=",F92))</f>
        <v>#N/A</v>
      </c>
      <c r="F92" t="s">
        <v>14</v>
      </c>
      <c r="G92" t="e">
        <f>100*(E92-B92)/B92</f>
        <v>#N/A</v>
      </c>
    </row>
    <row r="93" spans="1:8" x14ac:dyDescent="0.3">
      <c r="G93" t="s">
        <v>202</v>
      </c>
    </row>
    <row r="94" spans="1:8" x14ac:dyDescent="0.3">
      <c r="A94" s="6" t="s">
        <v>102</v>
      </c>
      <c r="B94" s="7"/>
      <c r="C94" s="7"/>
      <c r="D94" s="7"/>
      <c r="E94" s="7"/>
      <c r="F94" s="7"/>
      <c r="G94" s="7" t="s">
        <v>202</v>
      </c>
      <c r="H94" s="7"/>
    </row>
    <row r="95" spans="1:8" x14ac:dyDescent="0.3">
      <c r="A95" t="s">
        <v>62</v>
      </c>
      <c r="B95">
        <f>IFERROR(_xlfn.XLOOKUP(A95,'Appendix A'!A:A,'Appendix A'!C:C),"")</f>
        <v>23.51</v>
      </c>
      <c r="E95" t="e" cm="1">
        <f t="array" ref="E95">_xll.ReadKSpice(_xlfn.CONCAT("/",$B$1,"/",$B$2,"/",D95,"@V_Unit=",F95))</f>
        <v>#N/A</v>
      </c>
      <c r="F95" t="s">
        <v>33</v>
      </c>
      <c r="G95" t="e">
        <f>100*(E95-B95)/B95</f>
        <v>#N/A</v>
      </c>
    </row>
    <row r="96" spans="1:8" s="3" customFormat="1" x14ac:dyDescent="0.3">
      <c r="A96" t="s">
        <v>71</v>
      </c>
      <c r="B96">
        <f>IFERROR(_xlfn.XLOOKUP(A96,'Appendix A'!A:A,'Appendix A'!C:C),"")</f>
        <v>1.069</v>
      </c>
      <c r="C96"/>
      <c r="D96"/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7" x14ac:dyDescent="0.3">
      <c r="A97" t="s">
        <v>72</v>
      </c>
      <c r="B97">
        <f>IFERROR(_xlfn.XLOOKUP(A97,'Appendix A'!A:A,'Appendix A'!C:C),"")</f>
        <v>1.091</v>
      </c>
      <c r="E97" t="e" cm="1">
        <f t="array" ref="E97">_xll.ReadKSpice(_xlfn.CONCAT("/",$B$1,"/",$B$2,"/",D97,"@V_Unit=",F97))</f>
        <v>#N/A</v>
      </c>
      <c r="F97" t="s">
        <v>95</v>
      </c>
      <c r="G97" t="e">
        <f>100*(E97-B97)/B97</f>
        <v>#N/A</v>
      </c>
    </row>
    <row r="98" spans="1:7" x14ac:dyDescent="0.3">
      <c r="A98" t="s">
        <v>77</v>
      </c>
      <c r="B98">
        <f>IFERROR(_xlfn.XLOOKUP(A98,'Appendix A'!A:A,'Appendix A'!C:C),"")</f>
        <v>36.06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7" x14ac:dyDescent="0.3">
      <c r="A99" t="s">
        <v>91</v>
      </c>
      <c r="B99">
        <f>IFERROR(_xlfn.XLOOKUP(A99,'Appendix A'!A:A,'Appendix A'!C:C),"")</f>
        <v>36.799999999999997</v>
      </c>
      <c r="E99" t="e" cm="1">
        <f t="array" ref="E99">_xll.ReadKSpice(_xlfn.CONCAT("/",$B$1,"/",$B$2,"/",D99,"@V_Unit=",F99))</f>
        <v>#N/A</v>
      </c>
      <c r="F99" t="s">
        <v>14</v>
      </c>
      <c r="G99" t="e">
        <f>100*(E99-B99)/B99</f>
        <v>#N/A</v>
      </c>
    </row>
    <row r="121" spans="1:4" x14ac:dyDescent="0.3">
      <c r="A121" s="3"/>
    </row>
    <row r="122" spans="1:4" x14ac:dyDescent="0.3">
      <c r="C122" s="10"/>
      <c r="D122" s="10"/>
    </row>
    <row r="126" spans="1:4" x14ac:dyDescent="0.3">
      <c r="A126" s="3"/>
    </row>
    <row r="132" spans="1:4" x14ac:dyDescent="0.3">
      <c r="A132" s="1"/>
      <c r="C132" s="1"/>
      <c r="D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  <row r="139" spans="1:4" x14ac:dyDescent="0.3">
      <c r="A139" s="1"/>
    </row>
  </sheetData>
  <conditionalFormatting sqref="G13:G99">
    <cfRule type="expression" dxfId="26" priority="1">
      <formula>ABS(G13)&gt;10</formula>
    </cfRule>
    <cfRule type="expression" dxfId="25" priority="2">
      <formula>AND(ABS(G13)&gt;=5,ABS(G13)&lt;10)</formula>
    </cfRule>
    <cfRule type="expression" dxfId="24" priority="3">
      <formula>ABS(G13)&lt;5</formula>
    </cfRule>
  </conditionalFormatting>
  <pageMargins left="0.7" right="0.7" top="0.75" bottom="0.75" header="0.3" footer="0.3"/>
  <headerFooter>
    <oddFooter>&amp;C_x000D_&amp;1#&amp;"Aptos"&amp;14&amp;K000000 KDI LIMITED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5B57-6488-4917-BD96-87CB0302BF81}">
  <dimension ref="A1:J180"/>
  <sheetViews>
    <sheetView zoomScale="55" zoomScaleNormal="55" workbookViewId="0">
      <selection activeCell="J13" sqref="J13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5.554687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1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v>89.77</v>
      </c>
      <c r="C13" t="s">
        <v>30</v>
      </c>
      <c r="D13" t="s">
        <v>111</v>
      </c>
      <c r="E13">
        <v>89.77</v>
      </c>
      <c r="F13" t="s">
        <v>31</v>
      </c>
      <c r="G13">
        <v>0</v>
      </c>
      <c r="H13" t="s">
        <v>35</v>
      </c>
    </row>
    <row r="14" spans="1:10" x14ac:dyDescent="0.3">
      <c r="A14" t="s">
        <v>58</v>
      </c>
      <c r="B14">
        <v>166.93</v>
      </c>
      <c r="C14" t="s">
        <v>32</v>
      </c>
      <c r="D14" t="s">
        <v>112</v>
      </c>
      <c r="E14">
        <v>166.9</v>
      </c>
      <c r="F14" t="s">
        <v>33</v>
      </c>
      <c r="G14">
        <v>-1.7971604864315063E-2</v>
      </c>
      <c r="H14" t="s">
        <v>36</v>
      </c>
    </row>
    <row r="15" spans="1:10" x14ac:dyDescent="0.3">
      <c r="A15" t="s">
        <v>67</v>
      </c>
      <c r="B15">
        <v>1016.6</v>
      </c>
      <c r="C15" t="s">
        <v>238</v>
      </c>
      <c r="D15" t="s">
        <v>235</v>
      </c>
      <c r="E15">
        <v>1016.6</v>
      </c>
      <c r="F15" t="s">
        <v>218</v>
      </c>
      <c r="G15">
        <v>0</v>
      </c>
      <c r="H15" t="s">
        <v>239</v>
      </c>
    </row>
    <row r="16" spans="1:10" x14ac:dyDescent="0.3">
      <c r="A16" t="s">
        <v>25</v>
      </c>
      <c r="B16">
        <v>49.1</v>
      </c>
      <c r="C16" t="s">
        <v>107</v>
      </c>
      <c r="D16" t="s">
        <v>113</v>
      </c>
      <c r="E16">
        <v>49.100000000000023</v>
      </c>
      <c r="F16" t="s">
        <v>14</v>
      </c>
      <c r="G16">
        <v>4.3414016441553984E-14</v>
      </c>
      <c r="H16" t="s">
        <v>37</v>
      </c>
    </row>
    <row r="17" spans="1:8" x14ac:dyDescent="0.3">
      <c r="A17" t="s">
        <v>25</v>
      </c>
      <c r="B17">
        <v>49.1</v>
      </c>
      <c r="C17" t="s">
        <v>38</v>
      </c>
      <c r="D17" t="s">
        <v>220</v>
      </c>
      <c r="E17">
        <v>49.100000000000023</v>
      </c>
      <c r="F17" t="s">
        <v>14</v>
      </c>
      <c r="G17">
        <v>4.3414016441553984E-14</v>
      </c>
      <c r="H17" t="s">
        <v>108</v>
      </c>
    </row>
    <row r="18" spans="1:8" x14ac:dyDescent="0.3">
      <c r="A18" t="s">
        <v>63</v>
      </c>
      <c r="B18">
        <v>6.82</v>
      </c>
      <c r="C18" t="s">
        <v>40</v>
      </c>
      <c r="D18" t="s">
        <v>219</v>
      </c>
      <c r="E18">
        <v>6.8</v>
      </c>
      <c r="F18" t="s">
        <v>41</v>
      </c>
      <c r="G18">
        <v>-0.29325513196481612</v>
      </c>
      <c r="H18" t="s">
        <v>39</v>
      </c>
    </row>
    <row r="19" spans="1:8" x14ac:dyDescent="0.3">
      <c r="A19" t="s">
        <v>16</v>
      </c>
      <c r="B19">
        <v>42.18</v>
      </c>
      <c r="C19" t="s">
        <v>231</v>
      </c>
      <c r="D19" t="s">
        <v>232</v>
      </c>
      <c r="E19">
        <v>42.180000000000007</v>
      </c>
      <c r="F19" t="s">
        <v>14</v>
      </c>
      <c r="G19">
        <v>1.6845489230917501E-14</v>
      </c>
      <c r="H19" t="s">
        <v>42</v>
      </c>
    </row>
    <row r="20" spans="1:8" x14ac:dyDescent="0.3">
      <c r="B20">
        <v>0.3</v>
      </c>
      <c r="C20" t="s">
        <v>105</v>
      </c>
      <c r="D20" t="s">
        <v>114</v>
      </c>
      <c r="E20">
        <v>0.29999017213024504</v>
      </c>
      <c r="F20" t="s">
        <v>43</v>
      </c>
      <c r="G20">
        <v>-3.2759565849841783E-3</v>
      </c>
      <c r="H20" t="s">
        <v>44</v>
      </c>
    </row>
    <row r="21" spans="1:8" x14ac:dyDescent="0.3">
      <c r="A21" t="s">
        <v>47</v>
      </c>
      <c r="B21">
        <v>1014.07</v>
      </c>
      <c r="C21" t="s">
        <v>46</v>
      </c>
      <c r="D21" t="s">
        <v>115</v>
      </c>
      <c r="E21">
        <v>1014.07</v>
      </c>
      <c r="F21" t="s">
        <v>218</v>
      </c>
      <c r="G21">
        <v>0</v>
      </c>
      <c r="H21" t="s">
        <v>45</v>
      </c>
    </row>
    <row r="22" spans="1:8" x14ac:dyDescent="0.3">
      <c r="A22" t="s">
        <v>68</v>
      </c>
      <c r="B22">
        <v>0.9</v>
      </c>
      <c r="C22" t="s">
        <v>49</v>
      </c>
      <c r="D22" t="s">
        <v>116</v>
      </c>
      <c r="E22">
        <v>0.90000000000000013</v>
      </c>
      <c r="F22" t="s">
        <v>51</v>
      </c>
      <c r="G22">
        <v>1.2335811384723962E-14</v>
      </c>
      <c r="H22" t="s">
        <v>48</v>
      </c>
    </row>
    <row r="23" spans="1:8" x14ac:dyDescent="0.3">
      <c r="A23" t="s">
        <v>89</v>
      </c>
      <c r="B23">
        <v>30.65</v>
      </c>
      <c r="C23" t="s">
        <v>53</v>
      </c>
      <c r="D23" t="s">
        <v>117</v>
      </c>
      <c r="E23">
        <v>30.649999999999977</v>
      </c>
      <c r="F23" t="s">
        <v>14</v>
      </c>
      <c r="G23">
        <v>-6.9547412961836888E-14</v>
      </c>
      <c r="H23" t="s">
        <v>52</v>
      </c>
    </row>
    <row r="24" spans="1:8" x14ac:dyDescent="0.3">
      <c r="A24" t="s">
        <v>90</v>
      </c>
      <c r="B24">
        <v>18.079999999999998</v>
      </c>
      <c r="C24" t="s">
        <v>55</v>
      </c>
      <c r="D24" t="s">
        <v>118</v>
      </c>
      <c r="E24">
        <v>18.079999999999984</v>
      </c>
      <c r="F24" t="s">
        <v>14</v>
      </c>
      <c r="G24">
        <v>-7.8599860150453572E-14</v>
      </c>
      <c r="H24" t="s">
        <v>54</v>
      </c>
    </row>
    <row r="25" spans="1:8" x14ac:dyDescent="0.3">
      <c r="G25" t="s">
        <v>202</v>
      </c>
    </row>
    <row r="26" spans="1:8" x14ac:dyDescent="0.3">
      <c r="A26" s="6" t="s">
        <v>10</v>
      </c>
      <c r="B26" s="7"/>
      <c r="C26" s="7"/>
      <c r="D26" s="7"/>
      <c r="E26" s="7"/>
      <c r="F26" s="7"/>
      <c r="G26" s="7" t="s">
        <v>202</v>
      </c>
      <c r="H26" s="7"/>
    </row>
    <row r="27" spans="1:8" x14ac:dyDescent="0.3">
      <c r="A27" t="s">
        <v>11</v>
      </c>
      <c r="B27">
        <v>89.77</v>
      </c>
      <c r="C27" t="s">
        <v>12</v>
      </c>
      <c r="D27" t="s">
        <v>119</v>
      </c>
      <c r="E27">
        <v>94.060759067159921</v>
      </c>
      <c r="F27" t="s">
        <v>31</v>
      </c>
      <c r="G27">
        <v>4.7797249272139082</v>
      </c>
    </row>
    <row r="28" spans="1:8" x14ac:dyDescent="0.3">
      <c r="A28" t="s">
        <v>67</v>
      </c>
      <c r="B28">
        <v>1016.6</v>
      </c>
      <c r="C28" t="s">
        <v>236</v>
      </c>
      <c r="D28" t="s">
        <v>237</v>
      </c>
      <c r="E28">
        <v>1016.7225920311114</v>
      </c>
      <c r="F28" t="s">
        <v>218</v>
      </c>
      <c r="G28">
        <v>1.2059023323958966E-2</v>
      </c>
    </row>
    <row r="29" spans="1:8" x14ac:dyDescent="0.3">
      <c r="A29" t="s">
        <v>13</v>
      </c>
      <c r="B29">
        <v>43.26</v>
      </c>
      <c r="C29" t="s">
        <v>233</v>
      </c>
      <c r="D29" t="s">
        <v>234</v>
      </c>
      <c r="E29">
        <v>42.778231542449532</v>
      </c>
      <c r="F29" t="s">
        <v>14</v>
      </c>
      <c r="G29">
        <v>-1.1136580156044054</v>
      </c>
    </row>
    <row r="30" spans="1:8" x14ac:dyDescent="0.3">
      <c r="A30" t="s">
        <v>58</v>
      </c>
      <c r="B30">
        <v>166.93</v>
      </c>
      <c r="C30" t="s">
        <v>120</v>
      </c>
      <c r="D30" t="s">
        <v>121</v>
      </c>
      <c r="E30">
        <v>166.8802121827178</v>
      </c>
      <c r="F30" t="s">
        <v>33</v>
      </c>
      <c r="G30">
        <v>-2.9825565975084393E-2</v>
      </c>
    </row>
    <row r="31" spans="1:8" x14ac:dyDescent="0.3">
      <c r="A31" t="s">
        <v>25</v>
      </c>
      <c r="B31">
        <v>49.1</v>
      </c>
      <c r="C31" t="s">
        <v>109</v>
      </c>
      <c r="D31" t="s">
        <v>110</v>
      </c>
      <c r="E31">
        <v>49.10550545618031</v>
      </c>
      <c r="F31" t="s">
        <v>14</v>
      </c>
      <c r="G31">
        <v>1.1212741711423531E-2</v>
      </c>
      <c r="H31" t="s">
        <v>37</v>
      </c>
    </row>
    <row r="32" spans="1:8" x14ac:dyDescent="0.3">
      <c r="A32" t="s">
        <v>25</v>
      </c>
      <c r="B32">
        <v>49.1</v>
      </c>
      <c r="C32" t="s">
        <v>221</v>
      </c>
      <c r="D32" t="s">
        <v>222</v>
      </c>
      <c r="E32">
        <v>39.371811620481708</v>
      </c>
      <c r="F32" t="s">
        <v>14</v>
      </c>
      <c r="G32">
        <v>-19.813010956249069</v>
      </c>
      <c r="H32" t="s">
        <v>108</v>
      </c>
    </row>
    <row r="33" spans="1:8" x14ac:dyDescent="0.3">
      <c r="G33" t="s">
        <v>202</v>
      </c>
    </row>
    <row r="34" spans="1:8" x14ac:dyDescent="0.3">
      <c r="A34" s="6" t="s">
        <v>15</v>
      </c>
      <c r="B34" s="7"/>
      <c r="C34" s="7"/>
      <c r="D34" s="7"/>
      <c r="E34" s="7"/>
      <c r="F34" s="7"/>
      <c r="G34" s="7" t="s">
        <v>202</v>
      </c>
      <c r="H34" s="7"/>
    </row>
    <row r="35" spans="1:8" x14ac:dyDescent="0.3">
      <c r="A35" t="s">
        <v>56</v>
      </c>
      <c r="B35">
        <v>3.52</v>
      </c>
      <c r="C35" t="s">
        <v>122</v>
      </c>
      <c r="D35" t="s">
        <v>123</v>
      </c>
      <c r="E35">
        <v>3.5000000000000004</v>
      </c>
      <c r="F35" t="s">
        <v>229</v>
      </c>
      <c r="G35">
        <v>-0.56818181818180602</v>
      </c>
      <c r="H35" t="s">
        <v>96</v>
      </c>
    </row>
    <row r="36" spans="1:8" x14ac:dyDescent="0.3">
      <c r="A36" t="s">
        <v>124</v>
      </c>
      <c r="B36" t="s">
        <v>273</v>
      </c>
      <c r="C36" t="s">
        <v>128</v>
      </c>
      <c r="D36" t="s">
        <v>129</v>
      </c>
      <c r="E36">
        <v>0.12271816738328642</v>
      </c>
      <c r="F36" t="s">
        <v>229</v>
      </c>
      <c r="G36" t="s">
        <v>202</v>
      </c>
      <c r="H36" t="s">
        <v>126</v>
      </c>
    </row>
    <row r="37" spans="1:8" x14ac:dyDescent="0.3">
      <c r="A37" t="s">
        <v>125</v>
      </c>
      <c r="B37" t="s">
        <v>273</v>
      </c>
      <c r="C37" t="s">
        <v>128</v>
      </c>
      <c r="D37" t="s">
        <v>130</v>
      </c>
      <c r="E37">
        <v>6.6474997439744693E-2</v>
      </c>
      <c r="F37" t="s">
        <v>229</v>
      </c>
      <c r="G37" t="s">
        <v>202</v>
      </c>
      <c r="H37" t="s">
        <v>127</v>
      </c>
    </row>
    <row r="38" spans="1:8" x14ac:dyDescent="0.3">
      <c r="A38" t="s">
        <v>57</v>
      </c>
      <c r="B38">
        <v>0.28999999999999998</v>
      </c>
      <c r="C38" t="s">
        <v>128</v>
      </c>
      <c r="E38">
        <v>0.18919316482303111</v>
      </c>
      <c r="F38" t="s">
        <v>229</v>
      </c>
      <c r="G38">
        <v>-34.760977647230646</v>
      </c>
      <c r="H38" t="s">
        <v>230</v>
      </c>
    </row>
    <row r="39" spans="1:8" x14ac:dyDescent="0.3">
      <c r="A39" t="s">
        <v>47</v>
      </c>
      <c r="B39">
        <v>1014.07</v>
      </c>
      <c r="C39" t="s">
        <v>131</v>
      </c>
      <c r="D39" t="s">
        <v>133</v>
      </c>
      <c r="E39">
        <v>1013.7902028385707</v>
      </c>
      <c r="F39" t="s">
        <v>218</v>
      </c>
      <c r="G39">
        <v>-2.759150368606848E-2</v>
      </c>
    </row>
    <row r="40" spans="1:8" x14ac:dyDescent="0.3">
      <c r="A40" t="s">
        <v>66</v>
      </c>
      <c r="B40">
        <v>1019.19</v>
      </c>
      <c r="C40" t="s">
        <v>132</v>
      </c>
      <c r="D40" t="s">
        <v>134</v>
      </c>
      <c r="E40">
        <v>1016.5846875307569</v>
      </c>
      <c r="F40" t="s">
        <v>218</v>
      </c>
      <c r="G40">
        <v>-0.25562578805160285</v>
      </c>
    </row>
    <row r="41" spans="1:8" x14ac:dyDescent="0.3">
      <c r="A41" t="s">
        <v>16</v>
      </c>
      <c r="B41">
        <v>42.18</v>
      </c>
      <c r="C41" t="s">
        <v>233</v>
      </c>
      <c r="D41" t="s">
        <v>234</v>
      </c>
      <c r="E41">
        <v>42.778231542449532</v>
      </c>
      <c r="F41" t="s">
        <v>14</v>
      </c>
      <c r="G41">
        <v>1.4182824619476828</v>
      </c>
      <c r="H41" t="s">
        <v>240</v>
      </c>
    </row>
    <row r="42" spans="1:8" x14ac:dyDescent="0.3">
      <c r="A42" t="s">
        <v>73</v>
      </c>
      <c r="B42">
        <v>45.14</v>
      </c>
      <c r="C42" t="s">
        <v>137</v>
      </c>
      <c r="D42" t="s">
        <v>146</v>
      </c>
      <c r="E42">
        <v>41.340292750177184</v>
      </c>
      <c r="F42" t="s">
        <v>14</v>
      </c>
      <c r="G42">
        <v>-8.4176057816189989</v>
      </c>
    </row>
    <row r="43" spans="1:8" x14ac:dyDescent="0.3">
      <c r="A43" t="s">
        <v>17</v>
      </c>
      <c r="B43">
        <v>46.62</v>
      </c>
      <c r="C43" t="s">
        <v>18</v>
      </c>
      <c r="D43" t="s">
        <v>147</v>
      </c>
      <c r="E43">
        <v>44.256293205140025</v>
      </c>
      <c r="F43" t="s">
        <v>14</v>
      </c>
      <c r="G43">
        <v>-5.0701561451307855</v>
      </c>
    </row>
    <row r="44" spans="1:8" x14ac:dyDescent="0.3">
      <c r="A44" t="s">
        <v>19</v>
      </c>
      <c r="B44">
        <v>49.38</v>
      </c>
      <c r="C44" t="s">
        <v>138</v>
      </c>
      <c r="D44" t="s">
        <v>148</v>
      </c>
      <c r="E44">
        <v>51.046222751798837</v>
      </c>
      <c r="F44" t="s">
        <v>14</v>
      </c>
      <c r="G44">
        <v>3.3742866581588378</v>
      </c>
    </row>
    <row r="45" spans="1:8" x14ac:dyDescent="0.3">
      <c r="A45" t="s">
        <v>20</v>
      </c>
      <c r="B45">
        <v>50.97</v>
      </c>
      <c r="C45" t="s">
        <v>139</v>
      </c>
      <c r="D45" t="s">
        <v>149</v>
      </c>
      <c r="E45">
        <v>51.324729923188499</v>
      </c>
      <c r="F45" t="s">
        <v>14</v>
      </c>
      <c r="G45">
        <v>0.69595825620659335</v>
      </c>
    </row>
    <row r="46" spans="1:8" x14ac:dyDescent="0.3">
      <c r="A46" t="s">
        <v>21</v>
      </c>
      <c r="B46">
        <v>52.49</v>
      </c>
      <c r="C46" t="s">
        <v>140</v>
      </c>
      <c r="D46" t="s">
        <v>150</v>
      </c>
      <c r="E46">
        <v>51.324229247386768</v>
      </c>
      <c r="F46" t="s">
        <v>14</v>
      </c>
      <c r="G46">
        <v>-2.2209387552166775</v>
      </c>
    </row>
    <row r="47" spans="1:8" x14ac:dyDescent="0.3">
      <c r="A47" t="s">
        <v>22</v>
      </c>
      <c r="B47">
        <v>56.29</v>
      </c>
      <c r="C47" t="s">
        <v>141</v>
      </c>
      <c r="D47" t="s">
        <v>151</v>
      </c>
      <c r="E47">
        <v>51.308154055619923</v>
      </c>
      <c r="F47" t="s">
        <v>14</v>
      </c>
      <c r="G47">
        <v>-8.850321450311025</v>
      </c>
    </row>
    <row r="48" spans="1:8" x14ac:dyDescent="0.3">
      <c r="A48" t="s">
        <v>23</v>
      </c>
      <c r="B48">
        <v>57.47</v>
      </c>
      <c r="C48" t="s">
        <v>142</v>
      </c>
      <c r="D48" t="s">
        <v>152</v>
      </c>
      <c r="E48">
        <v>51.270383260680148</v>
      </c>
      <c r="F48" t="s">
        <v>14</v>
      </c>
      <c r="G48">
        <v>-10.787570452966506</v>
      </c>
    </row>
    <row r="49" spans="1:8" x14ac:dyDescent="0.3">
      <c r="A49" t="s">
        <v>24</v>
      </c>
      <c r="B49">
        <v>56.03</v>
      </c>
      <c r="C49" t="s">
        <v>143</v>
      </c>
      <c r="D49" t="s">
        <v>153</v>
      </c>
      <c r="E49">
        <v>51.149207088972048</v>
      </c>
      <c r="F49" t="s">
        <v>14</v>
      </c>
      <c r="G49">
        <v>-8.7110350009422692</v>
      </c>
    </row>
    <row r="50" spans="1:8" x14ac:dyDescent="0.3">
      <c r="A50" t="s">
        <v>83</v>
      </c>
      <c r="B50">
        <v>48.35</v>
      </c>
      <c r="C50" t="s">
        <v>144</v>
      </c>
      <c r="D50" t="s">
        <v>154</v>
      </c>
      <c r="E50">
        <v>49.183805984161665</v>
      </c>
      <c r="F50" t="s">
        <v>14</v>
      </c>
      <c r="G50">
        <v>1.7245211668286744</v>
      </c>
    </row>
    <row r="51" spans="1:8" x14ac:dyDescent="0.3">
      <c r="A51" t="s">
        <v>70</v>
      </c>
      <c r="B51">
        <v>6.48</v>
      </c>
      <c r="F51" t="s">
        <v>217</v>
      </c>
      <c r="G51" t="s">
        <v>202</v>
      </c>
    </row>
    <row r="52" spans="1:8" x14ac:dyDescent="0.3">
      <c r="A52" t="s">
        <v>64</v>
      </c>
      <c r="B52">
        <v>11.32</v>
      </c>
      <c r="F52" t="s">
        <v>217</v>
      </c>
      <c r="G52" t="s">
        <v>202</v>
      </c>
      <c r="H52" t="s">
        <v>103</v>
      </c>
    </row>
    <row r="53" spans="1:8" x14ac:dyDescent="0.3">
      <c r="A53" t="s">
        <v>104</v>
      </c>
      <c r="B53">
        <v>17.8</v>
      </c>
      <c r="C53" t="s">
        <v>145</v>
      </c>
      <c r="D53" t="s">
        <v>155</v>
      </c>
      <c r="E53">
        <v>17.448046170207618</v>
      </c>
      <c r="F53" t="s">
        <v>217</v>
      </c>
      <c r="G53">
        <v>-1.9772687066987771</v>
      </c>
      <c r="H53" t="s">
        <v>241</v>
      </c>
    </row>
    <row r="54" spans="1:8" x14ac:dyDescent="0.3">
      <c r="G54" t="s">
        <v>202</v>
      </c>
    </row>
    <row r="55" spans="1:8" x14ac:dyDescent="0.3">
      <c r="A55" s="6" t="s">
        <v>97</v>
      </c>
      <c r="B55" s="7"/>
      <c r="C55" s="7"/>
      <c r="D55" s="7"/>
      <c r="E55" s="7"/>
      <c r="F55" s="7"/>
      <c r="G55" s="7" t="s">
        <v>202</v>
      </c>
      <c r="H55" s="7"/>
    </row>
    <row r="56" spans="1:8" x14ac:dyDescent="0.3">
      <c r="A56" t="s">
        <v>59</v>
      </c>
      <c r="B56">
        <v>171.04</v>
      </c>
      <c r="C56" t="s">
        <v>156</v>
      </c>
      <c r="D56" t="s">
        <v>157</v>
      </c>
      <c r="E56">
        <v>171.78560395406015</v>
      </c>
      <c r="F56" t="s">
        <v>33</v>
      </c>
      <c r="G56">
        <v>0.43592373366473225</v>
      </c>
    </row>
    <row r="57" spans="1:8" x14ac:dyDescent="0.3">
      <c r="A57" t="s">
        <v>74</v>
      </c>
      <c r="B57">
        <v>44.96</v>
      </c>
      <c r="F57" t="s">
        <v>14</v>
      </c>
      <c r="G57" t="s">
        <v>202</v>
      </c>
      <c r="H57" t="s">
        <v>98</v>
      </c>
    </row>
    <row r="58" spans="1:8" x14ac:dyDescent="0.3">
      <c r="A58" t="s">
        <v>75</v>
      </c>
      <c r="B58">
        <v>43.37</v>
      </c>
      <c r="C58" t="s">
        <v>158</v>
      </c>
      <c r="D58" t="s">
        <v>159</v>
      </c>
      <c r="E58">
        <v>50.277081989044518</v>
      </c>
      <c r="F58" t="s">
        <v>14</v>
      </c>
      <c r="G58">
        <v>15.92594417580014</v>
      </c>
    </row>
    <row r="59" spans="1:8" x14ac:dyDescent="0.3">
      <c r="A59" t="s">
        <v>76</v>
      </c>
      <c r="B59">
        <v>44.15</v>
      </c>
      <c r="C59" t="s">
        <v>161</v>
      </c>
      <c r="D59" t="s">
        <v>160</v>
      </c>
      <c r="E59">
        <v>41.287463512496572</v>
      </c>
      <c r="F59" t="s">
        <v>14</v>
      </c>
      <c r="G59">
        <v>-6.4836613533486451</v>
      </c>
    </row>
    <row r="60" spans="1:8" x14ac:dyDescent="0.3">
      <c r="G60" t="s">
        <v>202</v>
      </c>
    </row>
    <row r="61" spans="1:8" x14ac:dyDescent="0.3">
      <c r="A61" s="6" t="s">
        <v>26</v>
      </c>
      <c r="B61" s="7"/>
      <c r="C61" s="7"/>
      <c r="D61" s="7"/>
      <c r="E61" s="7"/>
      <c r="F61" s="7"/>
      <c r="G61" s="7" t="s">
        <v>202</v>
      </c>
      <c r="H61" s="7"/>
    </row>
    <row r="62" spans="1:8" x14ac:dyDescent="0.3">
      <c r="A62" t="s">
        <v>84</v>
      </c>
      <c r="B62">
        <v>116.73</v>
      </c>
      <c r="C62" t="s">
        <v>162</v>
      </c>
      <c r="D62" t="s">
        <v>169</v>
      </c>
      <c r="E62">
        <v>109.21682986835305</v>
      </c>
      <c r="F62" t="s">
        <v>14</v>
      </c>
      <c r="G62">
        <v>-6.4363660855366733</v>
      </c>
    </row>
    <row r="63" spans="1:8" x14ac:dyDescent="0.3">
      <c r="A63" t="s">
        <v>85</v>
      </c>
      <c r="B63">
        <v>109.2</v>
      </c>
      <c r="C63" t="s">
        <v>163</v>
      </c>
      <c r="D63" t="s">
        <v>170</v>
      </c>
      <c r="E63">
        <v>104.69953913461302</v>
      </c>
      <c r="F63" t="s">
        <v>14</v>
      </c>
      <c r="G63">
        <v>-4.1213011587792892</v>
      </c>
    </row>
    <row r="64" spans="1:8" x14ac:dyDescent="0.3">
      <c r="A64" t="s">
        <v>86</v>
      </c>
      <c r="B64">
        <v>106.76</v>
      </c>
      <c r="C64" t="s">
        <v>164</v>
      </c>
      <c r="D64" t="s">
        <v>171</v>
      </c>
      <c r="E64">
        <v>102.5702896885785</v>
      </c>
      <c r="F64" t="s">
        <v>14</v>
      </c>
      <c r="G64">
        <v>-3.9244195498515424</v>
      </c>
    </row>
    <row r="65" spans="1:8" x14ac:dyDescent="0.3">
      <c r="A65" t="s">
        <v>87</v>
      </c>
      <c r="B65">
        <v>106.59</v>
      </c>
      <c r="C65" t="s">
        <v>165</v>
      </c>
      <c r="D65" t="s">
        <v>172</v>
      </c>
      <c r="E65">
        <v>101.96607573063903</v>
      </c>
      <c r="F65" t="s">
        <v>14</v>
      </c>
      <c r="G65">
        <v>-4.3380469737883196</v>
      </c>
    </row>
    <row r="66" spans="1:8" x14ac:dyDescent="0.3">
      <c r="A66" t="s">
        <v>88</v>
      </c>
      <c r="B66">
        <v>107.02</v>
      </c>
      <c r="C66" t="s">
        <v>166</v>
      </c>
      <c r="D66" t="s">
        <v>173</v>
      </c>
      <c r="E66">
        <v>101.92808338195903</v>
      </c>
      <c r="F66" t="s">
        <v>14</v>
      </c>
      <c r="G66">
        <v>-4.7579112484030732</v>
      </c>
    </row>
    <row r="67" spans="1:8" x14ac:dyDescent="0.3">
      <c r="A67" t="s">
        <v>79</v>
      </c>
      <c r="B67">
        <v>107.81</v>
      </c>
      <c r="C67" t="s">
        <v>227</v>
      </c>
      <c r="D67" t="s">
        <v>228</v>
      </c>
      <c r="E67">
        <v>102.12810785605478</v>
      </c>
      <c r="F67" t="s">
        <v>14</v>
      </c>
      <c r="G67">
        <v>-5.2702830386283459</v>
      </c>
    </row>
    <row r="68" spans="1:8" x14ac:dyDescent="0.3">
      <c r="A68" t="s">
        <v>81</v>
      </c>
      <c r="B68">
        <v>112.66</v>
      </c>
      <c r="C68" t="s">
        <v>167</v>
      </c>
      <c r="D68" t="s">
        <v>174</v>
      </c>
      <c r="E68">
        <v>111.52013721615214</v>
      </c>
      <c r="F68" t="s">
        <v>14</v>
      </c>
      <c r="G68">
        <v>-1.0117723982317242</v>
      </c>
    </row>
    <row r="69" spans="1:8" x14ac:dyDescent="0.3">
      <c r="A69" t="s">
        <v>82</v>
      </c>
      <c r="B69">
        <v>105.46</v>
      </c>
      <c r="C69" t="s">
        <v>168</v>
      </c>
      <c r="D69" t="s">
        <v>175</v>
      </c>
      <c r="E69">
        <v>102.04635160796721</v>
      </c>
      <c r="F69" t="s">
        <v>14</v>
      </c>
      <c r="G69">
        <v>-3.2369129452235761</v>
      </c>
    </row>
    <row r="70" spans="1:8" x14ac:dyDescent="0.3">
      <c r="G70" t="s">
        <v>202</v>
      </c>
    </row>
    <row r="71" spans="1:8" x14ac:dyDescent="0.3">
      <c r="A71" s="8" t="s">
        <v>27</v>
      </c>
      <c r="B71" s="7"/>
      <c r="C71" s="7"/>
      <c r="D71" s="7"/>
      <c r="E71" s="7"/>
      <c r="F71" s="7"/>
      <c r="G71" s="7" t="s">
        <v>202</v>
      </c>
      <c r="H71" s="7"/>
    </row>
    <row r="72" spans="1:8" x14ac:dyDescent="0.3">
      <c r="A72" t="s">
        <v>60</v>
      </c>
      <c r="B72">
        <v>2.91</v>
      </c>
      <c r="C72" t="s">
        <v>176</v>
      </c>
      <c r="D72" t="s">
        <v>181</v>
      </c>
      <c r="E72">
        <v>5.1627430769438787</v>
      </c>
      <c r="F72" t="s">
        <v>33</v>
      </c>
      <c r="G72">
        <v>77.413851441370397</v>
      </c>
    </row>
    <row r="73" spans="1:8" x14ac:dyDescent="0.3">
      <c r="A73" t="s">
        <v>63</v>
      </c>
      <c r="B73">
        <v>6.82</v>
      </c>
      <c r="C73" t="s">
        <v>177</v>
      </c>
      <c r="D73" t="s">
        <v>182</v>
      </c>
      <c r="E73">
        <v>6.8282893852524671</v>
      </c>
      <c r="F73" t="s">
        <v>41</v>
      </c>
      <c r="G73">
        <v>0.12154523830596492</v>
      </c>
    </row>
    <row r="74" spans="1:8" x14ac:dyDescent="0.3">
      <c r="A74" t="s">
        <v>65</v>
      </c>
      <c r="B74">
        <v>54.03</v>
      </c>
      <c r="C74" t="s">
        <v>226</v>
      </c>
      <c r="D74" t="s">
        <v>225</v>
      </c>
      <c r="E74">
        <v>53.673111566607453</v>
      </c>
      <c r="F74" t="s">
        <v>217</v>
      </c>
      <c r="G74">
        <v>-0.66053754098195105</v>
      </c>
    </row>
    <row r="75" spans="1:8" x14ac:dyDescent="0.3">
      <c r="A75" t="s">
        <v>68</v>
      </c>
      <c r="B75">
        <v>0.9</v>
      </c>
      <c r="C75" t="s">
        <v>178</v>
      </c>
      <c r="D75" t="s">
        <v>183</v>
      </c>
      <c r="E75">
        <v>0.89489652851542156</v>
      </c>
      <c r="F75" t="s">
        <v>51</v>
      </c>
      <c r="G75">
        <v>-0.56705238717538431</v>
      </c>
    </row>
    <row r="76" spans="1:8" x14ac:dyDescent="0.3">
      <c r="A76" t="s">
        <v>80</v>
      </c>
      <c r="B76">
        <v>15.7</v>
      </c>
      <c r="C76" t="s">
        <v>179</v>
      </c>
      <c r="D76" t="s">
        <v>184</v>
      </c>
      <c r="E76">
        <v>28.02004890062716</v>
      </c>
      <c r="F76" t="s">
        <v>14</v>
      </c>
      <c r="G76">
        <v>78.471649048580645</v>
      </c>
    </row>
    <row r="77" spans="1:8" x14ac:dyDescent="0.3">
      <c r="A77" t="s">
        <v>206</v>
      </c>
      <c r="B77">
        <v>117.57</v>
      </c>
      <c r="C77" t="s">
        <v>180</v>
      </c>
      <c r="D77" t="s">
        <v>185</v>
      </c>
      <c r="E77">
        <v>116.58211928385214</v>
      </c>
      <c r="F77" t="s">
        <v>14</v>
      </c>
      <c r="G77">
        <v>-0.84024897180220826</v>
      </c>
    </row>
    <row r="78" spans="1:8" x14ac:dyDescent="0.3">
      <c r="G78" t="s">
        <v>202</v>
      </c>
    </row>
    <row r="79" spans="1:8" x14ac:dyDescent="0.3">
      <c r="A79" s="6" t="s">
        <v>28</v>
      </c>
      <c r="B79" s="7"/>
      <c r="C79" s="7"/>
      <c r="D79" s="7"/>
      <c r="E79" s="7"/>
      <c r="F79" s="7"/>
      <c r="G79" s="7" t="s">
        <v>202</v>
      </c>
      <c r="H79" s="7"/>
    </row>
    <row r="80" spans="1:8" x14ac:dyDescent="0.3">
      <c r="A80" t="s">
        <v>61</v>
      </c>
      <c r="B80">
        <v>4.41</v>
      </c>
      <c r="C80" t="s">
        <v>186</v>
      </c>
      <c r="D80" t="s">
        <v>187</v>
      </c>
      <c r="E80">
        <v>6.246814510023615</v>
      </c>
      <c r="F80" t="s">
        <v>33</v>
      </c>
      <c r="G80">
        <v>41.651122676272443</v>
      </c>
    </row>
    <row r="81" spans="1:8" x14ac:dyDescent="0.3">
      <c r="A81" t="s">
        <v>69</v>
      </c>
      <c r="B81">
        <v>0.89</v>
      </c>
      <c r="C81" t="s">
        <v>223</v>
      </c>
      <c r="D81" t="s">
        <v>224</v>
      </c>
      <c r="E81">
        <v>0.89155077670493621</v>
      </c>
      <c r="F81" t="s">
        <v>51</v>
      </c>
      <c r="G81">
        <v>0.17424457358833667</v>
      </c>
    </row>
    <row r="82" spans="1:8" x14ac:dyDescent="0.3">
      <c r="G82" t="s">
        <v>202</v>
      </c>
    </row>
    <row r="83" spans="1:8" x14ac:dyDescent="0.3">
      <c r="A83" s="6" t="s">
        <v>99</v>
      </c>
      <c r="B83" s="7" t="s">
        <v>273</v>
      </c>
      <c r="C83" s="7"/>
      <c r="D83" s="7"/>
      <c r="E83" s="7"/>
      <c r="F83" s="7"/>
      <c r="G83" s="7" t="s">
        <v>202</v>
      </c>
      <c r="H83" s="7"/>
    </row>
    <row r="84" spans="1:8" x14ac:dyDescent="0.3">
      <c r="A84" t="s">
        <v>92</v>
      </c>
      <c r="B84">
        <v>48.25</v>
      </c>
      <c r="C84" t="s">
        <v>188</v>
      </c>
      <c r="D84" t="s">
        <v>191</v>
      </c>
      <c r="E84">
        <v>41.185133421678131</v>
      </c>
      <c r="F84" t="s">
        <v>14</v>
      </c>
      <c r="G84">
        <v>-14.642210525019417</v>
      </c>
    </row>
    <row r="85" spans="1:8" x14ac:dyDescent="0.3">
      <c r="A85" t="s">
        <v>135</v>
      </c>
      <c r="C85" t="s">
        <v>189</v>
      </c>
      <c r="D85" t="s">
        <v>192</v>
      </c>
      <c r="E85">
        <v>116.58211928385214</v>
      </c>
      <c r="F85" t="s">
        <v>14</v>
      </c>
      <c r="G85" t="e">
        <v>#DIV/0!</v>
      </c>
      <c r="H85" t="s">
        <v>136</v>
      </c>
    </row>
    <row r="86" spans="1:8" x14ac:dyDescent="0.3">
      <c r="A86" t="s">
        <v>78</v>
      </c>
      <c r="B86">
        <v>109.87</v>
      </c>
      <c r="C86" t="s">
        <v>190</v>
      </c>
      <c r="D86" t="s">
        <v>193</v>
      </c>
      <c r="E86">
        <v>109.3117311482398</v>
      </c>
      <c r="F86" t="s">
        <v>14</v>
      </c>
      <c r="G86">
        <v>-0.50811764063002063</v>
      </c>
    </row>
    <row r="87" spans="1:8" x14ac:dyDescent="0.3">
      <c r="G87" t="s">
        <v>202</v>
      </c>
    </row>
    <row r="88" spans="1:8" x14ac:dyDescent="0.3">
      <c r="A88" s="6" t="s">
        <v>100</v>
      </c>
      <c r="B88" s="7"/>
      <c r="C88" s="7"/>
      <c r="D88" s="7"/>
      <c r="E88" s="7"/>
      <c r="F88" s="7"/>
      <c r="G88" s="7" t="s">
        <v>202</v>
      </c>
      <c r="H88" s="7"/>
    </row>
    <row r="89" spans="1:8" x14ac:dyDescent="0.3">
      <c r="A89" t="s">
        <v>89</v>
      </c>
      <c r="B89">
        <v>30.65</v>
      </c>
      <c r="C89" t="s">
        <v>194</v>
      </c>
      <c r="D89" t="s">
        <v>196</v>
      </c>
      <c r="E89">
        <v>30.875682339997297</v>
      </c>
      <c r="F89" t="s">
        <v>14</v>
      </c>
      <c r="G89">
        <v>0.73632084827829924</v>
      </c>
      <c r="H89" s="3"/>
    </row>
    <row r="90" spans="1:8" x14ac:dyDescent="0.3">
      <c r="G90" t="s">
        <v>202</v>
      </c>
    </row>
    <row r="91" spans="1:8" x14ac:dyDescent="0.3">
      <c r="A91" s="6" t="s">
        <v>101</v>
      </c>
      <c r="B91" s="7"/>
      <c r="C91" s="7"/>
      <c r="D91" s="7"/>
      <c r="E91" s="7"/>
      <c r="F91" s="7"/>
      <c r="G91" s="7" t="s">
        <v>202</v>
      </c>
      <c r="H91" s="7"/>
    </row>
    <row r="92" spans="1:8" x14ac:dyDescent="0.3">
      <c r="A92" t="s">
        <v>90</v>
      </c>
      <c r="B92">
        <v>18.079999999999998</v>
      </c>
      <c r="C92" t="s">
        <v>195</v>
      </c>
      <c r="D92" t="s">
        <v>197</v>
      </c>
      <c r="E92">
        <v>18.12144443601278</v>
      </c>
      <c r="F92" t="s">
        <v>14</v>
      </c>
      <c r="G92">
        <v>0.22922807529193417</v>
      </c>
    </row>
    <row r="93" spans="1:8" x14ac:dyDescent="0.3">
      <c r="G93" t="s">
        <v>202</v>
      </c>
    </row>
    <row r="94" spans="1:8" x14ac:dyDescent="0.3">
      <c r="A94" s="6" t="s">
        <v>102</v>
      </c>
      <c r="B94" s="7"/>
      <c r="C94" s="7"/>
      <c r="D94" s="7"/>
      <c r="E94" s="7"/>
      <c r="F94" s="7"/>
      <c r="G94" s="7" t="s">
        <v>202</v>
      </c>
      <c r="H94" s="7"/>
    </row>
    <row r="95" spans="1:8" x14ac:dyDescent="0.3">
      <c r="A95" t="s">
        <v>62</v>
      </c>
      <c r="B95">
        <v>23.51</v>
      </c>
      <c r="E95" t="s">
        <v>274</v>
      </c>
      <c r="F95" t="s">
        <v>33</v>
      </c>
      <c r="G95" t="e">
        <v>#VALUE!</v>
      </c>
    </row>
    <row r="96" spans="1:8" s="3" customFormat="1" x14ac:dyDescent="0.3">
      <c r="A96" t="s">
        <v>71</v>
      </c>
      <c r="B96">
        <v>1.069</v>
      </c>
      <c r="C96"/>
      <c r="D96"/>
      <c r="E96" t="s">
        <v>274</v>
      </c>
      <c r="F96" t="s">
        <v>95</v>
      </c>
      <c r="G96" t="e">
        <v>#VALUE!</v>
      </c>
    </row>
    <row r="97" spans="1:7" x14ac:dyDescent="0.3">
      <c r="A97" t="s">
        <v>72</v>
      </c>
      <c r="B97">
        <v>1.091</v>
      </c>
      <c r="E97" t="s">
        <v>274</v>
      </c>
      <c r="F97" t="s">
        <v>95</v>
      </c>
      <c r="G97" t="e">
        <v>#VALUE!</v>
      </c>
    </row>
    <row r="98" spans="1:7" x14ac:dyDescent="0.3">
      <c r="A98" t="s">
        <v>77</v>
      </c>
      <c r="B98">
        <v>36.06</v>
      </c>
      <c r="E98" t="s">
        <v>274</v>
      </c>
      <c r="F98" t="s">
        <v>14</v>
      </c>
      <c r="G98" t="e">
        <v>#VALUE!</v>
      </c>
    </row>
    <row r="99" spans="1:7" x14ac:dyDescent="0.3">
      <c r="A99" t="s">
        <v>91</v>
      </c>
      <c r="B99">
        <v>36.799999999999997</v>
      </c>
      <c r="E99" t="s">
        <v>274</v>
      </c>
      <c r="F99" t="s">
        <v>14</v>
      </c>
      <c r="G99" t="e">
        <v>#VALUE!</v>
      </c>
    </row>
    <row r="113" spans="1:5" x14ac:dyDescent="0.3">
      <c r="C113">
        <v>0</v>
      </c>
      <c r="D113">
        <v>0</v>
      </c>
      <c r="E113" t="s">
        <v>243</v>
      </c>
    </row>
    <row r="114" spans="1:5" x14ac:dyDescent="0.3">
      <c r="D114" t="s">
        <v>244</v>
      </c>
      <c r="E114" t="s">
        <v>245</v>
      </c>
    </row>
    <row r="115" spans="1:5" x14ac:dyDescent="0.3">
      <c r="D115" t="s">
        <v>246</v>
      </c>
      <c r="E115" t="s">
        <v>247</v>
      </c>
    </row>
    <row r="116" spans="1:5" x14ac:dyDescent="0.3">
      <c r="D116" t="s">
        <v>248</v>
      </c>
      <c r="E116" t="s">
        <v>249</v>
      </c>
    </row>
    <row r="117" spans="1:5" x14ac:dyDescent="0.3">
      <c r="D117" t="s">
        <v>250</v>
      </c>
      <c r="E117" t="s">
        <v>251</v>
      </c>
    </row>
    <row r="118" spans="1:5" x14ac:dyDescent="0.3">
      <c r="D118" t="s">
        <v>252</v>
      </c>
      <c r="E118" t="s">
        <v>253</v>
      </c>
    </row>
    <row r="119" spans="1:5" x14ac:dyDescent="0.3">
      <c r="D119" t="s">
        <v>254</v>
      </c>
      <c r="E119" t="s">
        <v>255</v>
      </c>
    </row>
    <row r="120" spans="1:5" x14ac:dyDescent="0.3">
      <c r="D120" t="s">
        <v>256</v>
      </c>
      <c r="E120" t="s">
        <v>257</v>
      </c>
    </row>
    <row r="121" spans="1:5" x14ac:dyDescent="0.3">
      <c r="A121" s="3"/>
      <c r="D121" t="s">
        <v>258</v>
      </c>
      <c r="E121" t="s">
        <v>259</v>
      </c>
    </row>
    <row r="122" spans="1:5" x14ac:dyDescent="0.3">
      <c r="C122" s="10"/>
      <c r="D122" s="10"/>
    </row>
    <row r="125" spans="1:5" x14ac:dyDescent="0.3">
      <c r="C125">
        <v>1</v>
      </c>
      <c r="D125">
        <v>0</v>
      </c>
      <c r="E125" t="s">
        <v>260</v>
      </c>
    </row>
    <row r="126" spans="1:5" x14ac:dyDescent="0.3">
      <c r="A126" s="3"/>
      <c r="D126" t="s">
        <v>244</v>
      </c>
      <c r="E126" t="s">
        <v>243</v>
      </c>
    </row>
    <row r="127" spans="1:5" x14ac:dyDescent="0.3">
      <c r="D127" t="s">
        <v>246</v>
      </c>
      <c r="E127" t="s">
        <v>245</v>
      </c>
    </row>
    <row r="128" spans="1:5" x14ac:dyDescent="0.3">
      <c r="D128" t="s">
        <v>248</v>
      </c>
      <c r="E128" t="s">
        <v>261</v>
      </c>
    </row>
    <row r="129" spans="1:5" x14ac:dyDescent="0.3">
      <c r="D129" t="s">
        <v>250</v>
      </c>
      <c r="E129" t="s">
        <v>249</v>
      </c>
    </row>
    <row r="130" spans="1:5" x14ac:dyDescent="0.3">
      <c r="D130" t="s">
        <v>252</v>
      </c>
      <c r="E130" t="s">
        <v>262</v>
      </c>
    </row>
    <row r="131" spans="1:5" x14ac:dyDescent="0.3">
      <c r="D131" t="s">
        <v>254</v>
      </c>
      <c r="E131" t="s">
        <v>263</v>
      </c>
    </row>
    <row r="132" spans="1:5" x14ac:dyDescent="0.3">
      <c r="A132" s="1"/>
      <c r="C132" s="1"/>
      <c r="D132" s="1" t="s">
        <v>256</v>
      </c>
      <c r="E132" t="s">
        <v>264</v>
      </c>
    </row>
    <row r="133" spans="1:5" x14ac:dyDescent="0.3">
      <c r="A133" s="1"/>
      <c r="D133" t="s">
        <v>258</v>
      </c>
      <c r="E133" t="s">
        <v>259</v>
      </c>
    </row>
    <row r="134" spans="1:5" x14ac:dyDescent="0.3">
      <c r="A134" s="1"/>
    </row>
    <row r="135" spans="1:5" x14ac:dyDescent="0.3">
      <c r="A135" s="1"/>
    </row>
    <row r="136" spans="1:5" x14ac:dyDescent="0.3">
      <c r="A136" s="1"/>
      <c r="C136">
        <v>2</v>
      </c>
      <c r="D136">
        <v>0</v>
      </c>
      <c r="E136" t="s">
        <v>265</v>
      </c>
    </row>
    <row r="137" spans="1:5" x14ac:dyDescent="0.3">
      <c r="A137" s="1"/>
      <c r="D137" t="s">
        <v>244</v>
      </c>
      <c r="E137" t="s">
        <v>260</v>
      </c>
    </row>
    <row r="138" spans="1:5" x14ac:dyDescent="0.3">
      <c r="A138" s="1"/>
      <c r="D138" t="s">
        <v>246</v>
      </c>
      <c r="E138" t="s">
        <v>243</v>
      </c>
    </row>
    <row r="139" spans="1:5" x14ac:dyDescent="0.3">
      <c r="A139" s="1"/>
      <c r="D139" t="s">
        <v>248</v>
      </c>
      <c r="E139" t="s">
        <v>247</v>
      </c>
    </row>
    <row r="140" spans="1:5" x14ac:dyDescent="0.3">
      <c r="D140" t="s">
        <v>250</v>
      </c>
      <c r="E140" t="s">
        <v>261</v>
      </c>
    </row>
    <row r="141" spans="1:5" x14ac:dyDescent="0.3">
      <c r="D141" t="s">
        <v>252</v>
      </c>
      <c r="E141" t="s">
        <v>249</v>
      </c>
    </row>
    <row r="142" spans="1:5" x14ac:dyDescent="0.3">
      <c r="D142" t="s">
        <v>254</v>
      </c>
      <c r="E142" t="s">
        <v>251</v>
      </c>
    </row>
    <row r="143" spans="1:5" x14ac:dyDescent="0.3">
      <c r="D143" t="s">
        <v>256</v>
      </c>
      <c r="E143" t="s">
        <v>266</v>
      </c>
    </row>
    <row r="144" spans="1:5" x14ac:dyDescent="0.3">
      <c r="D144" t="s">
        <v>258</v>
      </c>
      <c r="E144" t="s">
        <v>259</v>
      </c>
    </row>
    <row r="147" spans="3:5" x14ac:dyDescent="0.3">
      <c r="C147">
        <v>3</v>
      </c>
    </row>
    <row r="148" spans="3:5" x14ac:dyDescent="0.3">
      <c r="D148">
        <v>0</v>
      </c>
      <c r="E148" t="s">
        <v>267</v>
      </c>
    </row>
    <row r="149" spans="3:5" x14ac:dyDescent="0.3">
      <c r="D149" t="s">
        <v>244</v>
      </c>
      <c r="E149" t="s">
        <v>265</v>
      </c>
    </row>
    <row r="150" spans="3:5" x14ac:dyDescent="0.3">
      <c r="D150" t="s">
        <v>246</v>
      </c>
      <c r="E150" t="s">
        <v>260</v>
      </c>
    </row>
    <row r="151" spans="3:5" x14ac:dyDescent="0.3">
      <c r="D151" t="s">
        <v>248</v>
      </c>
      <c r="E151" t="s">
        <v>245</v>
      </c>
    </row>
    <row r="152" spans="3:5" x14ac:dyDescent="0.3">
      <c r="D152" t="s">
        <v>250</v>
      </c>
      <c r="E152" t="s">
        <v>247</v>
      </c>
    </row>
    <row r="153" spans="3:5" x14ac:dyDescent="0.3">
      <c r="D153" t="s">
        <v>252</v>
      </c>
      <c r="E153" t="s">
        <v>261</v>
      </c>
    </row>
    <row r="154" spans="3:5" x14ac:dyDescent="0.3">
      <c r="D154" t="s">
        <v>254</v>
      </c>
      <c r="E154" t="s">
        <v>268</v>
      </c>
    </row>
    <row r="155" spans="3:5" x14ac:dyDescent="0.3">
      <c r="D155" t="s">
        <v>256</v>
      </c>
      <c r="E155" t="s">
        <v>255</v>
      </c>
    </row>
    <row r="156" spans="3:5" x14ac:dyDescent="0.3">
      <c r="D156" t="s">
        <v>258</v>
      </c>
      <c r="E156" t="s">
        <v>259</v>
      </c>
    </row>
    <row r="159" spans="3:5" x14ac:dyDescent="0.3">
      <c r="C159">
        <v>4</v>
      </c>
    </row>
    <row r="160" spans="3:5" x14ac:dyDescent="0.3">
      <c r="D160">
        <v>0</v>
      </c>
      <c r="E160" t="s">
        <v>269</v>
      </c>
    </row>
    <row r="161" spans="3:5" x14ac:dyDescent="0.3">
      <c r="D161" t="s">
        <v>244</v>
      </c>
      <c r="E161" t="s">
        <v>267</v>
      </c>
    </row>
    <row r="162" spans="3:5" x14ac:dyDescent="0.3">
      <c r="D162" t="s">
        <v>246</v>
      </c>
      <c r="E162" t="s">
        <v>265</v>
      </c>
    </row>
    <row r="163" spans="3:5" x14ac:dyDescent="0.3">
      <c r="D163" t="s">
        <v>248</v>
      </c>
      <c r="E163" t="s">
        <v>243</v>
      </c>
    </row>
    <row r="164" spans="3:5" x14ac:dyDescent="0.3">
      <c r="D164" t="s">
        <v>250</v>
      </c>
      <c r="E164" t="s">
        <v>245</v>
      </c>
    </row>
    <row r="165" spans="3:5" x14ac:dyDescent="0.3">
      <c r="D165" t="s">
        <v>252</v>
      </c>
      <c r="E165" t="s">
        <v>247</v>
      </c>
    </row>
    <row r="166" spans="3:5" x14ac:dyDescent="0.3">
      <c r="D166" t="s">
        <v>254</v>
      </c>
      <c r="E166" t="s">
        <v>270</v>
      </c>
    </row>
    <row r="167" spans="3:5" x14ac:dyDescent="0.3">
      <c r="D167" t="s">
        <v>256</v>
      </c>
      <c r="E167" t="s">
        <v>253</v>
      </c>
    </row>
    <row r="168" spans="3:5" x14ac:dyDescent="0.3">
      <c r="D168" t="s">
        <v>258</v>
      </c>
      <c r="E168" t="s">
        <v>259</v>
      </c>
    </row>
    <row r="171" spans="3:5" x14ac:dyDescent="0.3">
      <c r="C171">
        <v>5</v>
      </c>
    </row>
    <row r="172" spans="3:5" x14ac:dyDescent="0.3">
      <c r="D172">
        <v>0</v>
      </c>
      <c r="E172" t="s">
        <v>271</v>
      </c>
    </row>
    <row r="173" spans="3:5" x14ac:dyDescent="0.3">
      <c r="D173" t="s">
        <v>244</v>
      </c>
      <c r="E173" t="s">
        <v>269</v>
      </c>
    </row>
    <row r="174" spans="3:5" x14ac:dyDescent="0.3">
      <c r="D174" t="s">
        <v>246</v>
      </c>
      <c r="E174" t="s">
        <v>267</v>
      </c>
    </row>
    <row r="175" spans="3:5" x14ac:dyDescent="0.3">
      <c r="D175" t="s">
        <v>248</v>
      </c>
      <c r="E175" t="s">
        <v>260</v>
      </c>
    </row>
    <row r="176" spans="3:5" x14ac:dyDescent="0.3">
      <c r="D176" t="s">
        <v>250</v>
      </c>
      <c r="E176" t="s">
        <v>243</v>
      </c>
    </row>
    <row r="177" spans="4:5" x14ac:dyDescent="0.3">
      <c r="D177" t="s">
        <v>252</v>
      </c>
      <c r="E177" t="s">
        <v>245</v>
      </c>
    </row>
    <row r="178" spans="4:5" x14ac:dyDescent="0.3">
      <c r="D178" t="s">
        <v>254</v>
      </c>
      <c r="E178" t="s">
        <v>272</v>
      </c>
    </row>
    <row r="179" spans="4:5" x14ac:dyDescent="0.3">
      <c r="D179" t="s">
        <v>256</v>
      </c>
      <c r="E179" t="s">
        <v>251</v>
      </c>
    </row>
    <row r="180" spans="4:5" x14ac:dyDescent="0.3">
      <c r="D180" t="s">
        <v>258</v>
      </c>
      <c r="E180" t="s">
        <v>259</v>
      </c>
    </row>
  </sheetData>
  <conditionalFormatting sqref="G13:G99">
    <cfRule type="expression" dxfId="23" priority="1">
      <formula>ABS(G13)&gt;10</formula>
    </cfRule>
    <cfRule type="expression" dxfId="22" priority="2">
      <formula>AND(ABS(G13)&gt;=5,ABS(G13)&lt;10)</formula>
    </cfRule>
    <cfRule type="expression" dxfId="21" priority="3">
      <formula>ABS(G13)&lt;5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BBF3-6069-4B96-B0DB-4CD295CC15CA}">
  <dimension ref="A1:J139"/>
  <sheetViews>
    <sheetView zoomScale="55" zoomScaleNormal="55" workbookViewId="0">
      <selection activeCell="T44" sqref="T44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2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A'!D:D),"")</f>
        <v>90.09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4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A'!D:D),"")</f>
        <v>172.33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67</v>
      </c>
      <c r="B15">
        <f>IFERROR(_xlfn.XLOOKUP(A15,'Appendix A'!A:A,'Appendix A'!D:D),"")</f>
        <v>1010.37</v>
      </c>
      <c r="C15" t="s">
        <v>238</v>
      </c>
      <c r="D15" t="s">
        <v>235</v>
      </c>
      <c r="E15" t="e" cm="1">
        <f t="array" ref="E15">_xll.ReadKSpice(_xlfn.CONCAT("/",$B$1,"/",$B$2,"/",D15,"@V_Unit=",F15))</f>
        <v>#N/A</v>
      </c>
      <c r="F15" t="s">
        <v>218</v>
      </c>
      <c r="G15" t="e">
        <f t="shared" si="0"/>
        <v>#N/A</v>
      </c>
      <c r="H15" t="s">
        <v>239</v>
      </c>
    </row>
    <row r="16" spans="1:10" x14ac:dyDescent="0.3">
      <c r="A16" t="s">
        <v>25</v>
      </c>
      <c r="B16">
        <f>IFERROR(_xlfn.XLOOKUP(A16,'Appendix A'!A:A,'Appendix A'!D:D),"")</f>
        <v>58.31</v>
      </c>
      <c r="C16" t="s">
        <v>107</v>
      </c>
      <c r="D16" t="s">
        <v>113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37</v>
      </c>
    </row>
    <row r="17" spans="1:8" x14ac:dyDescent="0.3">
      <c r="A17" t="s">
        <v>25</v>
      </c>
      <c r="B17">
        <f>IFERROR(_xlfn.XLOOKUP(A17,'Appendix A'!A:A,'Appendix A'!D:D),"")</f>
        <v>58.31</v>
      </c>
      <c r="C17" t="s">
        <v>38</v>
      </c>
      <c r="D17" t="s">
        <v>220</v>
      </c>
      <c r="E17" t="e" cm="1">
        <f t="array" ref="E17">_xll.ReadKSpice(_xlfn.CONCAT("/",$B$1,"/",$B$2,"/",D17,"@V_Unit=",F17))</f>
        <v>#N/A</v>
      </c>
      <c r="F17" t="s">
        <v>14</v>
      </c>
      <c r="G17" t="e">
        <f t="shared" si="0"/>
        <v>#N/A</v>
      </c>
      <c r="H17" t="s">
        <v>108</v>
      </c>
    </row>
    <row r="18" spans="1:8" x14ac:dyDescent="0.3">
      <c r="A18" t="s">
        <v>63</v>
      </c>
      <c r="B18">
        <f>IFERROR(_xlfn.XLOOKUP(A18,'Appendix A'!A:A,'Appendix A'!D:D),"")</f>
        <v>9.23</v>
      </c>
      <c r="C18" t="s">
        <v>40</v>
      </c>
      <c r="D18" t="s">
        <v>219</v>
      </c>
      <c r="E18" t="e" cm="1">
        <f t="array" ref="E18">_xll.ReadKSpice(_xlfn.CONCAT("/",$B$1,"/",$B$2,"/",D18,"@V_Unit=",F18))</f>
        <v>#N/A</v>
      </c>
      <c r="F18" t="s">
        <v>41</v>
      </c>
      <c r="G18" t="e">
        <f t="shared" si="0"/>
        <v>#N/A</v>
      </c>
      <c r="H18" t="s">
        <v>39</v>
      </c>
    </row>
    <row r="19" spans="1:8" x14ac:dyDescent="0.3">
      <c r="A19" t="s">
        <v>16</v>
      </c>
      <c r="B19">
        <f>IFERROR(_xlfn.XLOOKUP(A19,'Appendix A'!A:A,'Appendix A'!D:D),"")</f>
        <v>49.24</v>
      </c>
      <c r="C19" t="s">
        <v>231</v>
      </c>
      <c r="D19" t="s">
        <v>232</v>
      </c>
      <c r="E19" t="e" cm="1">
        <f t="array" ref="E19">_xll.ReadKSpice(_xlfn.CONCAT("/",$B$1,"/",$B$2,"/",D19,"@V_Unit=",F19))</f>
        <v>#N/A</v>
      </c>
      <c r="F19" t="s">
        <v>14</v>
      </c>
      <c r="G19" t="e">
        <f t="shared" si="0"/>
        <v>#N/A</v>
      </c>
      <c r="H19" t="s">
        <v>42</v>
      </c>
    </row>
    <row r="20" spans="1:8" x14ac:dyDescent="0.3">
      <c r="B20">
        <v>0.26</v>
      </c>
      <c r="C20" t="s">
        <v>105</v>
      </c>
      <c r="D20" t="s">
        <v>114</v>
      </c>
      <c r="E20" t="e" cm="1">
        <f t="array" ref="E20">_xll.ReadKSpice(_xlfn.CONCAT("/",$B$1,"/",$B$2,"/",D20,"@V_Unit=",F20))</f>
        <v>#N/A</v>
      </c>
      <c r="F20" t="s">
        <v>43</v>
      </c>
      <c r="G20" t="e">
        <f t="shared" si="0"/>
        <v>#N/A</v>
      </c>
      <c r="H20" t="s">
        <v>44</v>
      </c>
    </row>
    <row r="21" spans="1:8" x14ac:dyDescent="0.3">
      <c r="A21" t="s">
        <v>47</v>
      </c>
      <c r="B21">
        <f>IFERROR(_xlfn.XLOOKUP(A21,'Appendix A'!A:A,'Appendix A'!D:D),"")</f>
        <v>1002.74</v>
      </c>
      <c r="C21" t="s">
        <v>46</v>
      </c>
      <c r="D21" t="s">
        <v>115</v>
      </c>
      <c r="E21" t="e" cm="1">
        <f t="array" ref="E21">_xll.ReadKSpice(_xlfn.CONCAT("/",$B$1,"/",$B$2,"/",D21,"@V_Unit=",F21))</f>
        <v>#N/A</v>
      </c>
      <c r="F21" t="s">
        <v>218</v>
      </c>
      <c r="G21" t="e">
        <f t="shared" si="0"/>
        <v>#N/A</v>
      </c>
      <c r="H21" t="s">
        <v>45</v>
      </c>
    </row>
    <row r="22" spans="1:8" x14ac:dyDescent="0.3">
      <c r="A22" t="s">
        <v>68</v>
      </c>
      <c r="B22">
        <f>IFERROR(_xlfn.XLOOKUP(A22,'Appendix A'!A:A,'Appendix A'!D:D),"")</f>
        <v>0.9</v>
      </c>
      <c r="C22" t="s">
        <v>49</v>
      </c>
      <c r="D22" t="s">
        <v>116</v>
      </c>
      <c r="E22" t="e" cm="1">
        <f t="array" ref="E22">_xll.ReadKSpice(_xlfn.CONCAT("/",$B$1,"/",$B$2,"/",D22,"@V_Unit=",F22))</f>
        <v>#N/A</v>
      </c>
      <c r="F22" t="s">
        <v>51</v>
      </c>
      <c r="G22" t="e">
        <f t="shared" si="0"/>
        <v>#N/A</v>
      </c>
      <c r="H22" t="s">
        <v>48</v>
      </c>
    </row>
    <row r="23" spans="1:8" x14ac:dyDescent="0.3">
      <c r="A23" t="s">
        <v>89</v>
      </c>
      <c r="B23">
        <f>IFERROR(_xlfn.XLOOKUP(A23,'Appendix A'!A:A,'Appendix A'!D:D),"")</f>
        <v>30.64</v>
      </c>
      <c r="C23" t="s">
        <v>53</v>
      </c>
      <c r="D23" t="s">
        <v>117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52</v>
      </c>
    </row>
    <row r="24" spans="1:8" x14ac:dyDescent="0.3">
      <c r="A24" t="s">
        <v>90</v>
      </c>
      <c r="B24">
        <f>IFERROR(_xlfn.XLOOKUP(A24,'Appendix A'!A:A,'Appendix A'!D:D),"")</f>
        <v>25.01</v>
      </c>
      <c r="C24" t="s">
        <v>55</v>
      </c>
      <c r="D24" t="s">
        <v>118</v>
      </c>
      <c r="E24" t="e" cm="1">
        <f t="array" ref="E24">_xll.ReadKSpice(_xlfn.CONCAT("/",$B$1,"/",$B$2,"/",D24,"@V_Unit=",F24))</f>
        <v>#N/A</v>
      </c>
      <c r="F24" t="s">
        <v>14</v>
      </c>
      <c r="G24" t="e">
        <f t="shared" si="0"/>
        <v>#N/A</v>
      </c>
      <c r="H24" t="s">
        <v>54</v>
      </c>
    </row>
    <row r="25" spans="1:8" x14ac:dyDescent="0.3">
      <c r="G25" t="s">
        <v>202</v>
      </c>
    </row>
    <row r="26" spans="1:8" x14ac:dyDescent="0.3">
      <c r="A26" s="6" t="s">
        <v>10</v>
      </c>
      <c r="C26" s="7"/>
      <c r="D26" s="7"/>
      <c r="E26" s="7"/>
      <c r="F26" s="7"/>
      <c r="G26" s="7" t="s">
        <v>202</v>
      </c>
      <c r="H26" s="7"/>
    </row>
    <row r="27" spans="1:8" x14ac:dyDescent="0.3">
      <c r="A27" t="s">
        <v>11</v>
      </c>
      <c r="B27">
        <f>IFERROR(_xlfn.XLOOKUP(A27,'Appendix A'!A:A,'Appendix A'!D:D),"")</f>
        <v>90.09</v>
      </c>
      <c r="C27" t="s">
        <v>12</v>
      </c>
      <c r="D27" t="s">
        <v>119</v>
      </c>
      <c r="E27" t="e" cm="1">
        <f t="array" ref="E27">_xll.ReadKSpice(_xlfn.CONCAT("/",$B$1,"/",$B$2,"/",D27,"@V_Unit=",F27))</f>
        <v>#N/A</v>
      </c>
      <c r="F27" t="s">
        <v>31</v>
      </c>
      <c r="G27" t="e">
        <f t="shared" ref="G27:G32" si="1">100*(E27-B27)/B27</f>
        <v>#N/A</v>
      </c>
    </row>
    <row r="28" spans="1:8" x14ac:dyDescent="0.3">
      <c r="A28" t="s">
        <v>67</v>
      </c>
      <c r="B28">
        <f>IFERROR(_xlfn.XLOOKUP(A28,'Appendix A'!A:A,'Appendix A'!D:D),"")</f>
        <v>1010.37</v>
      </c>
      <c r="C28" t="s">
        <v>236</v>
      </c>
      <c r="D28" t="s">
        <v>237</v>
      </c>
      <c r="E28" t="e" cm="1">
        <f t="array" ref="E28">_xll.ReadKSpice(_xlfn.CONCAT("/",$B$1,"/",$B$2,"/",D28,"@V_Unit=",F28))</f>
        <v>#N/A</v>
      </c>
      <c r="F28" t="s">
        <v>218</v>
      </c>
      <c r="G28" t="e">
        <f t="shared" si="1"/>
        <v>#N/A</v>
      </c>
    </row>
    <row r="29" spans="1:8" x14ac:dyDescent="0.3">
      <c r="A29" t="s">
        <v>13</v>
      </c>
      <c r="B29">
        <f>IFERROR(_xlfn.XLOOKUP(A29,'Appendix A'!A:A,'Appendix A'!D:D),"")</f>
        <v>50.54</v>
      </c>
      <c r="C29" t="s">
        <v>233</v>
      </c>
      <c r="D29" t="s">
        <v>234</v>
      </c>
      <c r="E29" t="e" cm="1">
        <f t="array" ref="E29">_xll.ReadKSpice(_xlfn.CONCAT("/",$B$1,"/",$B$2,"/",D29,"@V_Unit=",F29))</f>
        <v>#N/A</v>
      </c>
      <c r="F29" t="s">
        <v>14</v>
      </c>
      <c r="G29" t="e">
        <f t="shared" si="1"/>
        <v>#N/A</v>
      </c>
    </row>
    <row r="30" spans="1:8" x14ac:dyDescent="0.3">
      <c r="A30" t="s">
        <v>58</v>
      </c>
      <c r="B30">
        <f>IFERROR(_xlfn.XLOOKUP(A30,'Appendix A'!A:A,'Appendix A'!D:D),"")</f>
        <v>172.33</v>
      </c>
      <c r="C30" t="s">
        <v>120</v>
      </c>
      <c r="D30" t="s">
        <v>121</v>
      </c>
      <c r="E30" t="e" cm="1">
        <f t="array" ref="E30">_xll.ReadKSpice(_xlfn.CONCAT("/",$B$1,"/",$B$2,"/",D30,"@V_Unit=",F30))</f>
        <v>#N/A</v>
      </c>
      <c r="F30" t="s">
        <v>33</v>
      </c>
      <c r="G30" t="e">
        <f t="shared" si="1"/>
        <v>#N/A</v>
      </c>
    </row>
    <row r="31" spans="1:8" x14ac:dyDescent="0.3">
      <c r="A31" t="s">
        <v>25</v>
      </c>
      <c r="B31">
        <f>IFERROR(_xlfn.XLOOKUP(A31,'Appendix A'!A:A,'Appendix A'!D:D),"")</f>
        <v>58.31</v>
      </c>
      <c r="C31" t="s">
        <v>109</v>
      </c>
      <c r="D31" t="s">
        <v>110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37</v>
      </c>
    </row>
    <row r="32" spans="1:8" x14ac:dyDescent="0.3">
      <c r="A32" t="s">
        <v>25</v>
      </c>
      <c r="B32">
        <f>IFERROR(_xlfn.XLOOKUP(A32,'Appendix A'!A:A,'Appendix A'!D:D),"")</f>
        <v>58.31</v>
      </c>
      <c r="C32" t="s">
        <v>221</v>
      </c>
      <c r="D32" t="s">
        <v>222</v>
      </c>
      <c r="E32" t="e" cm="1">
        <f t="array" ref="E32">_xll.ReadKSpice(_xlfn.CONCAT("/",$B$1,"/",$B$2,"/",D32,"@V_Unit=",F32))</f>
        <v>#N/A</v>
      </c>
      <c r="F32" t="s">
        <v>14</v>
      </c>
      <c r="G32" t="e">
        <f t="shared" si="1"/>
        <v>#N/A</v>
      </c>
      <c r="H32" t="s">
        <v>108</v>
      </c>
    </row>
    <row r="33" spans="1:8" x14ac:dyDescent="0.3">
      <c r="G33" t="s">
        <v>202</v>
      </c>
    </row>
    <row r="34" spans="1:8" x14ac:dyDescent="0.3">
      <c r="A34" s="6" t="s">
        <v>15</v>
      </c>
      <c r="C34" s="7"/>
      <c r="D34" s="7"/>
      <c r="E34" s="7"/>
      <c r="F34" s="7"/>
      <c r="G34" s="7" t="s">
        <v>202</v>
      </c>
      <c r="H34" s="7"/>
    </row>
    <row r="35" spans="1:8" x14ac:dyDescent="0.3">
      <c r="A35" t="s">
        <v>56</v>
      </c>
      <c r="B35">
        <f>IFERROR(_xlfn.XLOOKUP(A35,'Appendix A'!A:A,'Appendix A'!D:D),"")</f>
        <v>6.77</v>
      </c>
      <c r="C35" t="s">
        <v>122</v>
      </c>
      <c r="D35" t="s">
        <v>123</v>
      </c>
      <c r="E35" t="e" cm="1">
        <f t="array" ref="E35">_xll.ReadKSpice(_xlfn.CONCAT("/",$B$1,"/",$B$2,"/",D35,"@V_Unit=",F35))</f>
        <v>#N/A</v>
      </c>
      <c r="F35" t="s">
        <v>229</v>
      </c>
      <c r="G35" t="e">
        <f>100*(E35-B35)/B35</f>
        <v>#N/A</v>
      </c>
      <c r="H35" t="s">
        <v>96</v>
      </c>
    </row>
    <row r="36" spans="1:8" x14ac:dyDescent="0.3">
      <c r="A36" t="s">
        <v>124</v>
      </c>
      <c r="B36" t="str">
        <f>IFERROR(_xlfn.XLOOKUP(A36,'Appendix A'!A:A,'Appendix A'!D:D),"")</f>
        <v/>
      </c>
      <c r="C36" t="s">
        <v>128</v>
      </c>
      <c r="D36" t="s">
        <v>129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126</v>
      </c>
    </row>
    <row r="37" spans="1:8" x14ac:dyDescent="0.3">
      <c r="A37" t="s">
        <v>125</v>
      </c>
      <c r="B37" t="str">
        <f>IFERROR(_xlfn.XLOOKUP(A37,'Appendix A'!A:A,'Appendix A'!D:D),"")</f>
        <v/>
      </c>
      <c r="C37" t="s">
        <v>128</v>
      </c>
      <c r="D37" t="s">
        <v>130</v>
      </c>
      <c r="E37" t="e" cm="1">
        <f t="array" ref="E37">_xll.ReadKSpice(_xlfn.CONCAT("/",$B$1,"/",$B$2,"/",D37,"@V_Unit=",F37))</f>
        <v>#N/A</v>
      </c>
      <c r="F37" t="s">
        <v>229</v>
      </c>
      <c r="G37" t="s">
        <v>202</v>
      </c>
      <c r="H37" t="s">
        <v>127</v>
      </c>
    </row>
    <row r="38" spans="1:8" x14ac:dyDescent="0.3">
      <c r="A38" t="s">
        <v>57</v>
      </c>
      <c r="B38">
        <f>IFERROR(_xlfn.XLOOKUP(A38,'Appendix A'!A:A,'Appendix A'!D:D),"")</f>
        <v>1.19</v>
      </c>
      <c r="C38" t="s">
        <v>128</v>
      </c>
      <c r="E38" t="e">
        <f>E37+E36</f>
        <v>#N/A</v>
      </c>
      <c r="F38" t="s">
        <v>229</v>
      </c>
      <c r="G38" t="e">
        <f>100*(E38-B38)/B38</f>
        <v>#N/A</v>
      </c>
      <c r="H38" t="s">
        <v>230</v>
      </c>
    </row>
    <row r="39" spans="1:8" x14ac:dyDescent="0.3">
      <c r="A39" t="s">
        <v>47</v>
      </c>
      <c r="B39">
        <f>IFERROR(_xlfn.XLOOKUP(A39,'Appendix A'!A:A,'Appendix A'!D:D),"")</f>
        <v>1002.74</v>
      </c>
      <c r="C39" t="s">
        <v>131</v>
      </c>
      <c r="D39" t="s">
        <v>133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ref="G39:G50" si="2">100*(E39-B39)/B39</f>
        <v>#N/A</v>
      </c>
    </row>
    <row r="40" spans="1:8" x14ac:dyDescent="0.3">
      <c r="A40" t="s">
        <v>66</v>
      </c>
      <c r="B40">
        <f>IFERROR(_xlfn.XLOOKUP(A40,'Appendix A'!A:A,'Appendix A'!D:D),"")</f>
        <v>1005.78</v>
      </c>
      <c r="C40" t="s">
        <v>132</v>
      </c>
      <c r="D40" t="s">
        <v>134</v>
      </c>
      <c r="E40" t="e" cm="1">
        <f t="array" ref="E40">_xll.ReadKSpice(_xlfn.CONCAT("/",$B$1,"/",$B$2,"/",D40,"@V_Unit=",F40))</f>
        <v>#N/A</v>
      </c>
      <c r="F40" t="s">
        <v>218</v>
      </c>
      <c r="G40" t="e">
        <f t="shared" si="2"/>
        <v>#N/A</v>
      </c>
    </row>
    <row r="41" spans="1:8" x14ac:dyDescent="0.3">
      <c r="A41" t="s">
        <v>16</v>
      </c>
      <c r="B41">
        <f>IFERROR(_xlfn.XLOOKUP(A41,'Appendix A'!A:A,'Appendix A'!D:D),"")</f>
        <v>49.24</v>
      </c>
      <c r="C41" t="s">
        <v>233</v>
      </c>
      <c r="D41" t="s">
        <v>234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  <c r="H41" t="s">
        <v>240</v>
      </c>
    </row>
    <row r="42" spans="1:8" x14ac:dyDescent="0.3">
      <c r="A42" t="s">
        <v>73</v>
      </c>
      <c r="B42">
        <f>IFERROR(_xlfn.XLOOKUP(A42,'Appendix A'!A:A,'Appendix A'!D:D),"")</f>
        <v>51.61</v>
      </c>
      <c r="C42" t="s">
        <v>137</v>
      </c>
      <c r="D42" t="s">
        <v>146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17</v>
      </c>
      <c r="B43">
        <f>IFERROR(_xlfn.XLOOKUP(A43,'Appendix A'!A:A,'Appendix A'!D:D),"")</f>
        <v>52.68</v>
      </c>
      <c r="C43" t="s">
        <v>18</v>
      </c>
      <c r="D43" t="s">
        <v>147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19</v>
      </c>
      <c r="B44">
        <f>IFERROR(_xlfn.XLOOKUP(A44,'Appendix A'!A:A,'Appendix A'!D:D),"")</f>
        <v>53.57</v>
      </c>
      <c r="C44" t="s">
        <v>138</v>
      </c>
      <c r="D44" t="s">
        <v>148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20</v>
      </c>
      <c r="B45">
        <f>IFERROR(_xlfn.XLOOKUP(A45,'Appendix A'!A:A,'Appendix A'!D:D),"")</f>
        <v>54.13</v>
      </c>
      <c r="C45" t="s">
        <v>139</v>
      </c>
      <c r="D45" t="s">
        <v>149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21</v>
      </c>
      <c r="B46">
        <f>IFERROR(_xlfn.XLOOKUP(A46,'Appendix A'!A:A,'Appendix A'!D:D),"")</f>
        <v>55.1</v>
      </c>
      <c r="C46" t="s">
        <v>140</v>
      </c>
      <c r="D46" t="s">
        <v>150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22</v>
      </c>
      <c r="B47">
        <f>IFERROR(_xlfn.XLOOKUP(A47,'Appendix A'!A:A,'Appendix A'!D:D),"")</f>
        <v>60.1</v>
      </c>
      <c r="C47" t="s">
        <v>141</v>
      </c>
      <c r="D47" t="s">
        <v>151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23</v>
      </c>
      <c r="B48">
        <f>IFERROR(_xlfn.XLOOKUP(A48,'Appendix A'!A:A,'Appendix A'!D:D),"")</f>
        <v>64.31</v>
      </c>
      <c r="C48" t="s">
        <v>142</v>
      </c>
      <c r="D48" t="s">
        <v>152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24</v>
      </c>
      <c r="B49">
        <f>IFERROR(_xlfn.XLOOKUP(A49,'Appendix A'!A:A,'Appendix A'!D:D),"")</f>
        <v>65.03</v>
      </c>
      <c r="C49" t="s">
        <v>143</v>
      </c>
      <c r="D49" t="s">
        <v>153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83</v>
      </c>
      <c r="B50">
        <f>IFERROR(_xlfn.XLOOKUP(A50,'Appendix A'!A:A,'Appendix A'!D:D),"")</f>
        <v>57.02</v>
      </c>
      <c r="C50" t="s">
        <v>144</v>
      </c>
      <c r="D50" t="s">
        <v>154</v>
      </c>
      <c r="E50" t="e" cm="1">
        <f t="array" ref="E50">_xll.ReadKSpice(_xlfn.CONCAT("/",$B$1,"/",$B$2,"/",D50,"@V_Unit=",F50))</f>
        <v>#N/A</v>
      </c>
      <c r="F50" t="s">
        <v>14</v>
      </c>
      <c r="G50" t="e">
        <f t="shared" si="2"/>
        <v>#N/A</v>
      </c>
    </row>
    <row r="51" spans="1:8" x14ac:dyDescent="0.3">
      <c r="A51" t="s">
        <v>70</v>
      </c>
      <c r="B51">
        <f>IFERROR(_xlfn.XLOOKUP(A51,'Appendix A'!A:A,'Appendix A'!D:D),"")</f>
        <v>6.89</v>
      </c>
      <c r="F51" t="s">
        <v>217</v>
      </c>
      <c r="G51" t="s">
        <v>202</v>
      </c>
    </row>
    <row r="52" spans="1:8" x14ac:dyDescent="0.3">
      <c r="A52" t="s">
        <v>64</v>
      </c>
      <c r="B52">
        <f>IFERROR(_xlfn.XLOOKUP(A52,'Appendix A'!A:A,'Appendix A'!D:D),"")</f>
        <v>11.32</v>
      </c>
      <c r="F52" t="s">
        <v>217</v>
      </c>
      <c r="G52" t="s">
        <v>202</v>
      </c>
      <c r="H52" t="s">
        <v>103</v>
      </c>
    </row>
    <row r="53" spans="1:8" x14ac:dyDescent="0.3">
      <c r="A53" t="s">
        <v>104</v>
      </c>
      <c r="B53">
        <f>B51+B52</f>
        <v>18.21</v>
      </c>
      <c r="C53" t="s">
        <v>145</v>
      </c>
      <c r="D53" t="s">
        <v>155</v>
      </c>
      <c r="E53" t="e" cm="1">
        <f t="array" ref="E53">_xll.ReadKSpice(_xlfn.CONCAT("/",$B$1,"/",$B$2,"/",D53,"@V_Unit=",F53))</f>
        <v>#N/A</v>
      </c>
      <c r="F53" t="s">
        <v>217</v>
      </c>
      <c r="G53" t="e">
        <f>100*(E53-B53)/B53</f>
        <v>#N/A</v>
      </c>
      <c r="H53" t="s">
        <v>241</v>
      </c>
    </row>
    <row r="54" spans="1:8" x14ac:dyDescent="0.3">
      <c r="G54" t="s">
        <v>202</v>
      </c>
    </row>
    <row r="55" spans="1:8" x14ac:dyDescent="0.3">
      <c r="A55" s="6" t="s">
        <v>97</v>
      </c>
      <c r="C55" s="7"/>
      <c r="D55" s="7"/>
      <c r="E55" s="7"/>
      <c r="F55" s="7"/>
      <c r="G55" s="7" t="s">
        <v>202</v>
      </c>
      <c r="H55" s="7"/>
    </row>
    <row r="56" spans="1:8" x14ac:dyDescent="0.3">
      <c r="A56" t="s">
        <v>59</v>
      </c>
      <c r="B56">
        <f>IFERROR(_xlfn.XLOOKUP(A56,'Appendix A'!A:A,'Appendix A'!D:D),"")</f>
        <v>179.79</v>
      </c>
      <c r="C56" t="s">
        <v>156</v>
      </c>
      <c r="D56" t="s">
        <v>157</v>
      </c>
      <c r="E56" t="e" cm="1">
        <f t="array" ref="E56">_xll.ReadKSpice(_xlfn.CONCAT("/",$B$1,"/",$B$2,"/",D56,"@V_Unit=",F56))</f>
        <v>#N/A</v>
      </c>
      <c r="F56" t="s">
        <v>33</v>
      </c>
      <c r="G56" t="e">
        <f>100*(E56-B56)/B56</f>
        <v>#N/A</v>
      </c>
    </row>
    <row r="57" spans="1:8" x14ac:dyDescent="0.3">
      <c r="A57" t="s">
        <v>74</v>
      </c>
      <c r="B57">
        <f>IFERROR(_xlfn.XLOOKUP(A57,'Appendix A'!A:A,'Appendix A'!D:D),"")</f>
        <v>51.39</v>
      </c>
      <c r="F57" t="s">
        <v>14</v>
      </c>
      <c r="G57" t="s">
        <v>202</v>
      </c>
      <c r="H57" t="s">
        <v>98</v>
      </c>
    </row>
    <row r="58" spans="1:8" x14ac:dyDescent="0.3">
      <c r="A58" t="s">
        <v>75</v>
      </c>
      <c r="B58">
        <f>IFERROR(_xlfn.XLOOKUP(A58,'Appendix A'!A:A,'Appendix A'!D:D),"")</f>
        <v>51.32</v>
      </c>
      <c r="C58" t="s">
        <v>158</v>
      </c>
      <c r="D58" t="s">
        <v>159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A59" t="s">
        <v>76</v>
      </c>
      <c r="B59">
        <f>IFERROR(_xlfn.XLOOKUP(A59,'Appendix A'!A:A,'Appendix A'!D:D),"")</f>
        <v>50.31</v>
      </c>
      <c r="C59" t="s">
        <v>161</v>
      </c>
      <c r="D59" t="s">
        <v>160</v>
      </c>
      <c r="E59" t="e" cm="1">
        <f t="array" ref="E59">_xll.ReadKSpice(_xlfn.CONCAT("/",$B$1,"/",$B$2,"/",D59,"@V_Unit=",F59))</f>
        <v>#N/A</v>
      </c>
      <c r="F59" t="s">
        <v>14</v>
      </c>
      <c r="G59" t="e">
        <f>100*(E59-B59)/B59</f>
        <v>#N/A</v>
      </c>
    </row>
    <row r="60" spans="1:8" x14ac:dyDescent="0.3">
      <c r="G60" t="s">
        <v>202</v>
      </c>
    </row>
    <row r="61" spans="1:8" x14ac:dyDescent="0.3">
      <c r="A61" s="6" t="s">
        <v>26</v>
      </c>
      <c r="C61" s="7"/>
      <c r="D61" s="7"/>
      <c r="E61" s="7"/>
      <c r="F61" s="7"/>
      <c r="G61" s="7" t="s">
        <v>202</v>
      </c>
      <c r="H61" s="7"/>
    </row>
    <row r="62" spans="1:8" x14ac:dyDescent="0.3">
      <c r="A62" t="s">
        <v>84</v>
      </c>
      <c r="B62">
        <f>IFERROR(_xlfn.XLOOKUP(A62,'Appendix A'!A:A,'Appendix A'!D:D),"")</f>
        <v>118.69</v>
      </c>
      <c r="C62" t="s">
        <v>162</v>
      </c>
      <c r="D62" t="s">
        <v>169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ref="G62:G69" si="3">100*(E62-B62)/B62</f>
        <v>#N/A</v>
      </c>
    </row>
    <row r="63" spans="1:8" x14ac:dyDescent="0.3">
      <c r="A63" t="s">
        <v>85</v>
      </c>
      <c r="B63">
        <f>IFERROR(_xlfn.XLOOKUP(A63,'Appendix A'!A:A,'Appendix A'!D:D),"")</f>
        <v>108.2</v>
      </c>
      <c r="C63" t="s">
        <v>163</v>
      </c>
      <c r="D63" t="s">
        <v>170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86</v>
      </c>
      <c r="B64">
        <f>IFERROR(_xlfn.XLOOKUP(A64,'Appendix A'!A:A,'Appendix A'!D:D),"")</f>
        <v>104.84</v>
      </c>
      <c r="C64" t="s">
        <v>164</v>
      </c>
      <c r="D64" t="s">
        <v>171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87</v>
      </c>
      <c r="B65">
        <f>IFERROR(_xlfn.XLOOKUP(A65,'Appendix A'!A:A,'Appendix A'!D:D),"")</f>
        <v>104.87</v>
      </c>
      <c r="C65" t="s">
        <v>165</v>
      </c>
      <c r="D65" t="s">
        <v>172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88</v>
      </c>
      <c r="B66">
        <f>IFERROR(_xlfn.XLOOKUP(A66,'Appendix A'!A:A,'Appendix A'!D:D),"")</f>
        <v>105.07</v>
      </c>
      <c r="C66" t="s">
        <v>166</v>
      </c>
      <c r="D66" t="s">
        <v>173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79</v>
      </c>
      <c r="B67">
        <f>IFERROR(_xlfn.XLOOKUP(A67,'Appendix A'!A:A,'Appendix A'!D:D),"")</f>
        <v>105.5</v>
      </c>
      <c r="C67" t="s">
        <v>227</v>
      </c>
      <c r="D67" t="s">
        <v>228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81</v>
      </c>
      <c r="B68">
        <f>IFERROR(_xlfn.XLOOKUP(A68,'Appendix A'!A:A,'Appendix A'!D:D),"")</f>
        <v>115.45</v>
      </c>
      <c r="C68" t="s">
        <v>167</v>
      </c>
      <c r="D68" t="s">
        <v>174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A69" t="s">
        <v>82</v>
      </c>
      <c r="B69">
        <f>IFERROR(_xlfn.XLOOKUP(A69,'Appendix A'!A:A,'Appendix A'!D:D),"")</f>
        <v>103.77</v>
      </c>
      <c r="C69" t="s">
        <v>168</v>
      </c>
      <c r="D69" t="s">
        <v>175</v>
      </c>
      <c r="E69" t="e" cm="1">
        <f t="array" ref="E69">_xll.ReadKSpice(_xlfn.CONCAT("/",$B$1,"/",$B$2,"/",D69,"@V_Unit=",F69))</f>
        <v>#N/A</v>
      </c>
      <c r="F69" t="s">
        <v>14</v>
      </c>
      <c r="G69" t="e">
        <f t="shared" si="3"/>
        <v>#N/A</v>
      </c>
    </row>
    <row r="70" spans="1:8" x14ac:dyDescent="0.3">
      <c r="G70" t="s">
        <v>202</v>
      </c>
    </row>
    <row r="71" spans="1:8" x14ac:dyDescent="0.3">
      <c r="A71" s="8" t="s">
        <v>27</v>
      </c>
      <c r="C71" s="7"/>
      <c r="D71" s="7"/>
      <c r="E71" s="7"/>
      <c r="F71" s="7"/>
      <c r="G71" s="7" t="s">
        <v>202</v>
      </c>
      <c r="H71" s="7"/>
    </row>
    <row r="72" spans="1:8" x14ac:dyDescent="0.3">
      <c r="A72" t="s">
        <v>60</v>
      </c>
      <c r="B72">
        <f>IFERROR(_xlfn.XLOOKUP(A72,'Appendix A'!A:A,'Appendix A'!D:D),"")</f>
        <v>4.16</v>
      </c>
      <c r="C72" t="s">
        <v>176</v>
      </c>
      <c r="D72" t="s">
        <v>181</v>
      </c>
      <c r="E72" t="e" cm="1">
        <f t="array" ref="E72">_xll.ReadKSpice(_xlfn.CONCAT("/",$B$1,"/",$B$2,"/",D72,"@V_Unit=",F72))</f>
        <v>#N/A</v>
      </c>
      <c r="F72" t="s">
        <v>33</v>
      </c>
      <c r="G72" t="e">
        <f t="shared" ref="G72:G77" si="4">100*(E72-B72)/B72</f>
        <v>#N/A</v>
      </c>
    </row>
    <row r="73" spans="1:8" x14ac:dyDescent="0.3">
      <c r="A73" t="s">
        <v>63</v>
      </c>
      <c r="B73">
        <f>IFERROR(_xlfn.XLOOKUP(A73,'Appendix A'!A:A,'Appendix A'!D:D),"")</f>
        <v>9.23</v>
      </c>
      <c r="C73" t="s">
        <v>177</v>
      </c>
      <c r="D73" t="s">
        <v>182</v>
      </c>
      <c r="E73" t="e" cm="1">
        <f t="array" ref="E73">_xll.ReadKSpice(_xlfn.CONCAT("/",$B$1,"/",$B$2,"/",D73,"@V_Unit=",F73))</f>
        <v>#N/A</v>
      </c>
      <c r="F73" t="s">
        <v>41</v>
      </c>
      <c r="G73" t="e">
        <f t="shared" si="4"/>
        <v>#N/A</v>
      </c>
    </row>
    <row r="74" spans="1:8" x14ac:dyDescent="0.3">
      <c r="A74" t="s">
        <v>65</v>
      </c>
      <c r="B74">
        <f>IFERROR(_xlfn.XLOOKUP(A74,'Appendix A'!A:A,'Appendix A'!D:D),"")</f>
        <v>53.31</v>
      </c>
      <c r="C74" t="s">
        <v>226</v>
      </c>
      <c r="D74" t="s">
        <v>225</v>
      </c>
      <c r="E74" t="e" cm="1">
        <f t="array" ref="E74">_xll.ReadKSpice(_xlfn.CONCAT("/",$B$1,"/",$B$2,"/",D74,"@V_Unit=",F74))</f>
        <v>#N/A</v>
      </c>
      <c r="F74" t="s">
        <v>217</v>
      </c>
      <c r="G74" t="e">
        <f t="shared" si="4"/>
        <v>#N/A</v>
      </c>
    </row>
    <row r="75" spans="1:8" x14ac:dyDescent="0.3">
      <c r="A75" t="s">
        <v>68</v>
      </c>
      <c r="B75">
        <f>IFERROR(_xlfn.XLOOKUP(A75,'Appendix A'!A:A,'Appendix A'!D:D),"")</f>
        <v>0.9</v>
      </c>
      <c r="C75" t="s">
        <v>178</v>
      </c>
      <c r="D75" t="s">
        <v>183</v>
      </c>
      <c r="E75" t="e" cm="1">
        <f t="array" ref="E75">_xll.ReadKSpice(_xlfn.CONCAT("/",$B$1,"/",$B$2,"/",D75,"@V_Unit=",F75))</f>
        <v>#N/A</v>
      </c>
      <c r="F75" t="s">
        <v>51</v>
      </c>
      <c r="G75" t="e">
        <f t="shared" si="4"/>
        <v>#N/A</v>
      </c>
    </row>
    <row r="76" spans="1:8" x14ac:dyDescent="0.3">
      <c r="A76" t="s">
        <v>80</v>
      </c>
      <c r="B76">
        <f>IFERROR(_xlfn.XLOOKUP(A76,'Appendix A'!A:A,'Appendix A'!D:D),"")</f>
        <v>20.81</v>
      </c>
      <c r="C76" t="s">
        <v>179</v>
      </c>
      <c r="D76" t="s">
        <v>184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A77" t="s">
        <v>206</v>
      </c>
      <c r="B77">
        <f>IFERROR(_xlfn.XLOOKUP(A77,'Appendix A'!A:A,'Appendix A'!D:D),"")</f>
        <v>118.79</v>
      </c>
      <c r="C77" t="s">
        <v>180</v>
      </c>
      <c r="D77" t="s">
        <v>185</v>
      </c>
      <c r="E77" t="e" cm="1">
        <f t="array" ref="E77">_xll.ReadKSpice(_xlfn.CONCAT("/",$B$1,"/",$B$2,"/",D77,"@V_Unit=",F77))</f>
        <v>#N/A</v>
      </c>
      <c r="F77" t="s">
        <v>14</v>
      </c>
      <c r="G77" t="e">
        <f t="shared" si="4"/>
        <v>#N/A</v>
      </c>
    </row>
    <row r="78" spans="1:8" x14ac:dyDescent="0.3">
      <c r="G78" t="s">
        <v>202</v>
      </c>
    </row>
    <row r="79" spans="1:8" x14ac:dyDescent="0.3">
      <c r="A79" s="6" t="s">
        <v>28</v>
      </c>
      <c r="C79" s="7"/>
      <c r="D79" s="7"/>
      <c r="E79" s="7"/>
      <c r="F79" s="7"/>
      <c r="G79" s="7" t="s">
        <v>202</v>
      </c>
      <c r="H79" s="7"/>
    </row>
    <row r="80" spans="1:8" x14ac:dyDescent="0.3">
      <c r="A80" t="s">
        <v>61</v>
      </c>
      <c r="B80">
        <f>IFERROR(_xlfn.XLOOKUP(A80,'Appendix A'!A:A,'Appendix A'!D:D),"")</f>
        <v>7.71</v>
      </c>
      <c r="C80" t="s">
        <v>186</v>
      </c>
      <c r="D80" t="s">
        <v>187</v>
      </c>
      <c r="E80" t="e" cm="1">
        <f t="array" ref="E80">_xll.ReadKSpice(_xlfn.CONCAT("/",$B$1,"/",$B$2,"/",D80,"@V_Unit=",F80))</f>
        <v>#N/A</v>
      </c>
      <c r="F80" t="s">
        <v>33</v>
      </c>
      <c r="G80" t="e">
        <f>100*(E80-B80)/B80</f>
        <v>#N/A</v>
      </c>
    </row>
    <row r="81" spans="1:8" x14ac:dyDescent="0.3">
      <c r="A81" t="s">
        <v>69</v>
      </c>
      <c r="B81">
        <f>IFERROR(_xlfn.XLOOKUP(A81,'Appendix A'!A:A,'Appendix A'!D:D),"")</f>
        <v>0.88</v>
      </c>
      <c r="C81" t="s">
        <v>223</v>
      </c>
      <c r="D81" t="s">
        <v>224</v>
      </c>
      <c r="E81" t="e" cm="1">
        <f t="array" ref="E81">_xll.ReadKSpice(_xlfn.CONCAT("/",$B$1,"/",$B$2,"/",D81,"@V_Unit=",F81))</f>
        <v>#N/A</v>
      </c>
      <c r="F81" t="s">
        <v>51</v>
      </c>
      <c r="G81" t="e">
        <f>100*(E81-B81)/B81</f>
        <v>#N/A</v>
      </c>
    </row>
    <row r="82" spans="1:8" x14ac:dyDescent="0.3">
      <c r="G82" t="s">
        <v>202</v>
      </c>
    </row>
    <row r="83" spans="1:8" x14ac:dyDescent="0.3">
      <c r="A83" s="6" t="s">
        <v>99</v>
      </c>
      <c r="B83" t="str">
        <f>IFERROR(_xlfn.XLOOKUP(A83,'Appendix A'!A:A,'Appendix A'!D:D),"")</f>
        <v/>
      </c>
      <c r="C83" s="7"/>
      <c r="D83" s="7"/>
      <c r="E83" s="7"/>
      <c r="F83" s="7"/>
      <c r="G83" s="7" t="s">
        <v>202</v>
      </c>
      <c r="H83" s="7"/>
    </row>
    <row r="84" spans="1:8" x14ac:dyDescent="0.3">
      <c r="A84" t="s">
        <v>92</v>
      </c>
      <c r="B84">
        <f>IFERROR(_xlfn.XLOOKUP(A84,'Appendix A'!A:A,'Appendix A'!D:D),"")</f>
        <v>52.63</v>
      </c>
      <c r="C84" t="s">
        <v>188</v>
      </c>
      <c r="D84" t="s">
        <v>191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</row>
    <row r="85" spans="1:8" x14ac:dyDescent="0.3">
      <c r="A85" t="s">
        <v>135</v>
      </c>
      <c r="C85" t="s">
        <v>189</v>
      </c>
      <c r="D85" t="s">
        <v>192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  <c r="H85" t="s">
        <v>136</v>
      </c>
    </row>
    <row r="86" spans="1:8" x14ac:dyDescent="0.3">
      <c r="A86" t="s">
        <v>78</v>
      </c>
      <c r="B86">
        <f>IFERROR(_xlfn.XLOOKUP(A86,'Appendix A'!A:A,'Appendix A'!D:D),"")</f>
        <v>109.15</v>
      </c>
      <c r="C86" t="s">
        <v>190</v>
      </c>
      <c r="D86" t="s">
        <v>193</v>
      </c>
      <c r="E86" t="e" cm="1">
        <f t="array" ref="E86">_xll.ReadKSpice(_xlfn.CONCAT("/",$B$1,"/",$B$2,"/",D86,"@V_Unit=",F86))</f>
        <v>#N/A</v>
      </c>
      <c r="F86" t="s">
        <v>14</v>
      </c>
      <c r="G86" t="e">
        <f>100*(E86-B86)/B86</f>
        <v>#N/A</v>
      </c>
    </row>
    <row r="87" spans="1:8" x14ac:dyDescent="0.3">
      <c r="G87" t="s">
        <v>202</v>
      </c>
    </row>
    <row r="88" spans="1:8" x14ac:dyDescent="0.3">
      <c r="A88" s="6" t="s">
        <v>100</v>
      </c>
      <c r="C88" s="7"/>
      <c r="D88" s="7"/>
      <c r="E88" s="7"/>
      <c r="F88" s="7"/>
      <c r="G88" s="7" t="s">
        <v>202</v>
      </c>
      <c r="H88" s="7"/>
    </row>
    <row r="89" spans="1:8" x14ac:dyDescent="0.3">
      <c r="A89" t="s">
        <v>89</v>
      </c>
      <c r="B89">
        <f>IFERROR(_xlfn.XLOOKUP(A89,'Appendix A'!A:A,'Appendix A'!D:D),"")</f>
        <v>30.64</v>
      </c>
      <c r="C89" t="s">
        <v>194</v>
      </c>
      <c r="D89" t="s">
        <v>196</v>
      </c>
      <c r="E89" t="e" cm="1">
        <f t="array" ref="E89">_xll.ReadKSpice(_xlfn.CONCAT("/",$B$1,"/",$B$2,"/",D89,"@V_Unit=",F89))</f>
        <v>#N/A</v>
      </c>
      <c r="F89" t="s">
        <v>14</v>
      </c>
      <c r="G89" t="e">
        <f>100*(E89-B89)/B89</f>
        <v>#N/A</v>
      </c>
      <c r="H89" s="3"/>
    </row>
    <row r="90" spans="1:8" x14ac:dyDescent="0.3">
      <c r="G90" t="s">
        <v>202</v>
      </c>
    </row>
    <row r="91" spans="1:8" x14ac:dyDescent="0.3">
      <c r="A91" s="6" t="s">
        <v>101</v>
      </c>
      <c r="C91" s="7"/>
      <c r="D91" s="7"/>
      <c r="E91" s="7"/>
      <c r="F91" s="7"/>
      <c r="G91" s="7" t="s">
        <v>202</v>
      </c>
      <c r="H91" s="7"/>
    </row>
    <row r="92" spans="1:8" x14ac:dyDescent="0.3">
      <c r="A92" t="s">
        <v>90</v>
      </c>
      <c r="B92">
        <f>IFERROR(_xlfn.XLOOKUP(A92,'Appendix A'!A:A,'Appendix A'!D:D),"")</f>
        <v>25.01</v>
      </c>
      <c r="C92" t="s">
        <v>195</v>
      </c>
      <c r="D92" t="s">
        <v>197</v>
      </c>
      <c r="E92" t="e" cm="1">
        <f t="array" ref="E92">_xll.ReadKSpice(_xlfn.CONCAT("/",$B$1,"/",$B$2,"/",D92,"@V_Unit=",F92))</f>
        <v>#N/A</v>
      </c>
      <c r="F92" t="s">
        <v>14</v>
      </c>
      <c r="G92" t="e">
        <f>100*(E92-B92)/B92</f>
        <v>#N/A</v>
      </c>
    </row>
    <row r="93" spans="1:8" x14ac:dyDescent="0.3">
      <c r="G93" t="s">
        <v>202</v>
      </c>
    </row>
    <row r="94" spans="1:8" x14ac:dyDescent="0.3">
      <c r="A94" s="6" t="s">
        <v>102</v>
      </c>
      <c r="C94" s="7"/>
      <c r="D94" s="7"/>
      <c r="E94" s="7"/>
      <c r="F94" s="7"/>
      <c r="G94" s="7" t="s">
        <v>202</v>
      </c>
      <c r="H94" s="7"/>
    </row>
    <row r="95" spans="1:8" x14ac:dyDescent="0.3">
      <c r="A95" t="s">
        <v>62</v>
      </c>
      <c r="B95">
        <f>IFERROR(_xlfn.XLOOKUP(A95,'Appendix A'!A:A,'Appendix A'!D:D),"")</f>
        <v>23.21</v>
      </c>
      <c r="E95" t="e" cm="1">
        <f t="array" ref="E95">_xll.ReadKSpice(_xlfn.CONCAT("/",$B$1,"/",$B$2,"/",D95,"@V_Unit=",F95))</f>
        <v>#N/A</v>
      </c>
      <c r="F95" t="s">
        <v>33</v>
      </c>
      <c r="G95" t="e">
        <f>100*(E95-B95)/B95</f>
        <v>#N/A</v>
      </c>
    </row>
    <row r="96" spans="1:8" s="3" customFormat="1" x14ac:dyDescent="0.3">
      <c r="A96" t="s">
        <v>71</v>
      </c>
      <c r="B96">
        <f>IFERROR(_xlfn.XLOOKUP(A96,'Appendix A'!A:A,'Appendix A'!D:D),"")</f>
        <v>1.0649999999999999</v>
      </c>
      <c r="C96"/>
      <c r="D96"/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7" x14ac:dyDescent="0.3">
      <c r="A97" t="s">
        <v>72</v>
      </c>
      <c r="B97">
        <f>IFERROR(_xlfn.XLOOKUP(A97,'Appendix A'!A:A,'Appendix A'!D:D),"")</f>
        <v>1.097</v>
      </c>
      <c r="E97" t="e" cm="1">
        <f t="array" ref="E97">_xll.ReadKSpice(_xlfn.CONCAT("/",$B$1,"/",$B$2,"/",D97,"@V_Unit=",F97))</f>
        <v>#N/A</v>
      </c>
      <c r="F97" t="s">
        <v>95</v>
      </c>
      <c r="G97" t="e">
        <f>100*(E97-B97)/B97</f>
        <v>#N/A</v>
      </c>
    </row>
    <row r="98" spans="1:7" x14ac:dyDescent="0.3">
      <c r="A98" t="s">
        <v>77</v>
      </c>
      <c r="B98">
        <f>IFERROR(_xlfn.XLOOKUP(A98,'Appendix A'!A:A,'Appendix A'!D:D),"")</f>
        <v>35.92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7" x14ac:dyDescent="0.3">
      <c r="A99" t="s">
        <v>91</v>
      </c>
      <c r="B99">
        <f>IFERROR(_xlfn.XLOOKUP(A99,'Appendix A'!A:A,'Appendix A'!D:D),"")</f>
        <v>36.630000000000003</v>
      </c>
      <c r="E99" t="e" cm="1">
        <f t="array" ref="E99">_xll.ReadKSpice(_xlfn.CONCAT("/",$B$1,"/",$B$2,"/",D99,"@V_Unit=",F99))</f>
        <v>#N/A</v>
      </c>
      <c r="F99" t="s">
        <v>14</v>
      </c>
      <c r="G99" t="e">
        <f>100*(E99-B99)/B99</f>
        <v>#N/A</v>
      </c>
    </row>
    <row r="100" spans="1:7" x14ac:dyDescent="0.3">
      <c r="B100" s="9"/>
    </row>
    <row r="121" spans="1:4" x14ac:dyDescent="0.3">
      <c r="A121" s="3"/>
    </row>
    <row r="122" spans="1:4" x14ac:dyDescent="0.3">
      <c r="C122" s="10"/>
      <c r="D122" s="10"/>
    </row>
    <row r="126" spans="1:4" x14ac:dyDescent="0.3">
      <c r="A126" s="3"/>
    </row>
    <row r="132" spans="1:4" x14ac:dyDescent="0.3">
      <c r="A132" s="1"/>
      <c r="C132" s="1"/>
      <c r="D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  <row r="139" spans="1:4" x14ac:dyDescent="0.3">
      <c r="A139" s="1"/>
    </row>
  </sheetData>
  <conditionalFormatting sqref="G13:G99">
    <cfRule type="expression" dxfId="20" priority="1">
      <formula>ABS(G13)&gt;10</formula>
    </cfRule>
    <cfRule type="expression" dxfId="19" priority="2">
      <formula>AND(ABS(G13)&gt;=5,ABS(G13)&lt;10)</formula>
    </cfRule>
    <cfRule type="expression" dxfId="18" priority="3">
      <formula>ABS(G13)&lt;5</formula>
    </cfRule>
  </conditionalFormatting>
  <pageMargins left="0.7" right="0.7" top="0.75" bottom="0.75" header="0.3" footer="0.3"/>
  <headerFooter>
    <oddFooter>&amp;C_x000D_&amp;1#&amp;"Aptos"&amp;14&amp;K000000 KDI LIMITED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235A-61C9-40D0-B6C6-63ECE19B9D71}">
  <dimension ref="A1:J139"/>
  <sheetViews>
    <sheetView topLeftCell="A7" zoomScale="60" zoomScaleNormal="60" workbookViewId="0">
      <selection activeCell="R54" sqref="R54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3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A'!E:E),"")</f>
        <v>127.02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4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A'!E:E),"")</f>
        <v>152.07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67</v>
      </c>
      <c r="B15">
        <f>IFERROR(_xlfn.XLOOKUP(A15,'Appendix A'!A:A,'Appendix A'!E:E),"")</f>
        <v>1056.4000000000001</v>
      </c>
      <c r="C15" t="s">
        <v>238</v>
      </c>
      <c r="D15" t="s">
        <v>235</v>
      </c>
      <c r="E15" t="e" cm="1">
        <f t="array" ref="E15">_xll.ReadKSpice(_xlfn.CONCAT("/",$B$1,"/",$B$2,"/",D15,"@V_Unit=",F15))</f>
        <v>#N/A</v>
      </c>
      <c r="F15" t="s">
        <v>218</v>
      </c>
      <c r="G15" t="e">
        <f t="shared" si="0"/>
        <v>#N/A</v>
      </c>
      <c r="H15" t="s">
        <v>239</v>
      </c>
    </row>
    <row r="16" spans="1:10" x14ac:dyDescent="0.3">
      <c r="A16" t="s">
        <v>25</v>
      </c>
      <c r="B16">
        <f>IFERROR(_xlfn.XLOOKUP(A16,'Appendix A'!A:A,'Appendix A'!E:E),"")</f>
        <v>57.95</v>
      </c>
      <c r="C16" t="s">
        <v>107</v>
      </c>
      <c r="D16" t="s">
        <v>113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37</v>
      </c>
    </row>
    <row r="17" spans="1:8" x14ac:dyDescent="0.3">
      <c r="A17" t="s">
        <v>25</v>
      </c>
      <c r="B17">
        <f>IFERROR(_xlfn.XLOOKUP(A17,'Appendix A'!A:A,'Appendix A'!E:E),"")</f>
        <v>57.95</v>
      </c>
      <c r="C17" t="s">
        <v>38</v>
      </c>
      <c r="D17" t="s">
        <v>220</v>
      </c>
      <c r="E17" t="e" cm="1">
        <f t="array" ref="E17">_xll.ReadKSpice(_xlfn.CONCAT("/",$B$1,"/",$B$2,"/",D17,"@V_Unit=",F17))</f>
        <v>#N/A</v>
      </c>
      <c r="F17" t="s">
        <v>14</v>
      </c>
      <c r="G17" t="e">
        <f t="shared" si="0"/>
        <v>#N/A</v>
      </c>
      <c r="H17" t="s">
        <v>108</v>
      </c>
    </row>
    <row r="18" spans="1:8" x14ac:dyDescent="0.3">
      <c r="A18" t="s">
        <v>63</v>
      </c>
      <c r="B18">
        <f>IFERROR(_xlfn.XLOOKUP(A18,'Appendix A'!A:A,'Appendix A'!E:E),"")</f>
        <v>10.02</v>
      </c>
      <c r="C18" t="s">
        <v>40</v>
      </c>
      <c r="D18" t="s">
        <v>219</v>
      </c>
      <c r="E18" t="e" cm="1">
        <f t="array" ref="E18">_xll.ReadKSpice(_xlfn.CONCAT("/",$B$1,"/",$B$2,"/",D18,"@V_Unit=",F18))</f>
        <v>#N/A</v>
      </c>
      <c r="F18" t="s">
        <v>41</v>
      </c>
      <c r="G18" t="e">
        <f t="shared" si="0"/>
        <v>#N/A</v>
      </c>
      <c r="H18" t="s">
        <v>39</v>
      </c>
    </row>
    <row r="19" spans="1:8" x14ac:dyDescent="0.3">
      <c r="A19" t="s">
        <v>16</v>
      </c>
      <c r="B19">
        <f>IFERROR(_xlfn.XLOOKUP(A19,'Appendix A'!A:A,'Appendix A'!E:E),"")</f>
        <v>46.68</v>
      </c>
      <c r="C19" t="s">
        <v>231</v>
      </c>
      <c r="D19" t="s">
        <v>232</v>
      </c>
      <c r="E19" t="e" cm="1">
        <f t="array" ref="E19">_xll.ReadKSpice(_xlfn.CONCAT("/",$B$1,"/",$B$2,"/",D19,"@V_Unit=",F19))</f>
        <v>#N/A</v>
      </c>
      <c r="F19" t="s">
        <v>14</v>
      </c>
      <c r="G19" t="e">
        <f t="shared" si="0"/>
        <v>#N/A</v>
      </c>
      <c r="H19" t="s">
        <v>42</v>
      </c>
    </row>
    <row r="20" spans="1:8" x14ac:dyDescent="0.3">
      <c r="B20">
        <v>0.22</v>
      </c>
      <c r="C20" t="s">
        <v>105</v>
      </c>
      <c r="D20" t="s">
        <v>114</v>
      </c>
      <c r="E20" t="e" cm="1">
        <f t="array" ref="E20">_xll.ReadKSpice(_xlfn.CONCAT("/",$B$1,"/",$B$2,"/",D20,"@V_Unit=",F20))</f>
        <v>#N/A</v>
      </c>
      <c r="F20" t="s">
        <v>43</v>
      </c>
      <c r="G20" t="e">
        <f t="shared" si="0"/>
        <v>#N/A</v>
      </c>
      <c r="H20" t="s">
        <v>44</v>
      </c>
    </row>
    <row r="21" spans="1:8" x14ac:dyDescent="0.3">
      <c r="A21" t="s">
        <v>47</v>
      </c>
      <c r="B21">
        <f>IFERROR(_xlfn.XLOOKUP(A21,'Appendix A'!A:A,'Appendix A'!E:E),"")</f>
        <v>1040.05</v>
      </c>
      <c r="C21" t="s">
        <v>46</v>
      </c>
      <c r="D21" t="s">
        <v>115</v>
      </c>
      <c r="E21" t="e" cm="1">
        <f t="array" ref="E21">_xll.ReadKSpice(_xlfn.CONCAT("/",$B$1,"/",$B$2,"/",D21,"@V_Unit=",F21))</f>
        <v>#N/A</v>
      </c>
      <c r="F21" t="s">
        <v>218</v>
      </c>
      <c r="G21" t="e">
        <f t="shared" si="0"/>
        <v>#N/A</v>
      </c>
      <c r="H21" t="s">
        <v>45</v>
      </c>
    </row>
    <row r="22" spans="1:8" x14ac:dyDescent="0.3">
      <c r="A22" t="s">
        <v>68</v>
      </c>
      <c r="B22">
        <f>IFERROR(_xlfn.XLOOKUP(A22,'Appendix A'!A:A,'Appendix A'!E:E),"")</f>
        <v>0.9</v>
      </c>
      <c r="C22" t="s">
        <v>49</v>
      </c>
      <c r="D22" t="s">
        <v>116</v>
      </c>
      <c r="E22" t="e" cm="1">
        <f t="array" ref="E22">_xll.ReadKSpice(_xlfn.CONCAT("/",$B$1,"/",$B$2,"/",D22,"@V_Unit=",F22))</f>
        <v>#N/A</v>
      </c>
      <c r="F22" t="s">
        <v>51</v>
      </c>
      <c r="G22" t="e">
        <f t="shared" si="0"/>
        <v>#N/A</v>
      </c>
      <c r="H22" t="s">
        <v>48</v>
      </c>
    </row>
    <row r="23" spans="1:8" x14ac:dyDescent="0.3">
      <c r="A23" t="s">
        <v>89</v>
      </c>
      <c r="B23">
        <f>IFERROR(_xlfn.XLOOKUP(A23,'Appendix A'!A:A,'Appendix A'!E:E),"")</f>
        <v>30.74</v>
      </c>
      <c r="C23" t="s">
        <v>53</v>
      </c>
      <c r="D23" t="s">
        <v>117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52</v>
      </c>
    </row>
    <row r="24" spans="1:8" x14ac:dyDescent="0.3">
      <c r="A24" t="s">
        <v>90</v>
      </c>
      <c r="B24">
        <f>IFERROR(_xlfn.XLOOKUP(A24,'Appendix A'!A:A,'Appendix A'!E:E),"")</f>
        <v>29.4</v>
      </c>
      <c r="C24" t="s">
        <v>55</v>
      </c>
      <c r="D24" t="s">
        <v>118</v>
      </c>
      <c r="E24" t="e" cm="1">
        <f t="array" ref="E24">_xll.ReadKSpice(_xlfn.CONCAT("/",$B$1,"/",$B$2,"/",D24,"@V_Unit=",F24))</f>
        <v>#N/A</v>
      </c>
      <c r="F24" t="s">
        <v>14</v>
      </c>
      <c r="G24" t="e">
        <f t="shared" si="0"/>
        <v>#N/A</v>
      </c>
      <c r="H24" t="s">
        <v>54</v>
      </c>
    </row>
    <row r="25" spans="1:8" x14ac:dyDescent="0.3">
      <c r="G25" t="s">
        <v>202</v>
      </c>
    </row>
    <row r="26" spans="1:8" x14ac:dyDescent="0.3">
      <c r="A26" s="6" t="s">
        <v>10</v>
      </c>
      <c r="C26" s="7"/>
      <c r="D26" s="7"/>
      <c r="E26" s="7"/>
      <c r="F26" s="7"/>
      <c r="G26" s="7" t="s">
        <v>202</v>
      </c>
      <c r="H26" s="7"/>
    </row>
    <row r="27" spans="1:8" x14ac:dyDescent="0.3">
      <c r="A27" t="s">
        <v>11</v>
      </c>
      <c r="B27">
        <f>IFERROR(_xlfn.XLOOKUP(A27,'Appendix A'!A:A,'Appendix A'!E:E),"")</f>
        <v>127.02</v>
      </c>
      <c r="C27" t="s">
        <v>12</v>
      </c>
      <c r="D27" t="s">
        <v>119</v>
      </c>
      <c r="E27" t="e" cm="1">
        <f t="array" ref="E27">_xll.ReadKSpice(_xlfn.CONCAT("/",$B$1,"/",$B$2,"/",D27,"@V_Unit=",F27))</f>
        <v>#N/A</v>
      </c>
      <c r="F27" t="s">
        <v>31</v>
      </c>
      <c r="G27" t="e">
        <f t="shared" ref="G27:G32" si="1">100*(E27-B27)/B27</f>
        <v>#N/A</v>
      </c>
    </row>
    <row r="28" spans="1:8" x14ac:dyDescent="0.3">
      <c r="A28" t="s">
        <v>67</v>
      </c>
      <c r="B28">
        <f>IFERROR(_xlfn.XLOOKUP(A28,'Appendix A'!A:A,'Appendix A'!E:E),"")</f>
        <v>1056.4000000000001</v>
      </c>
      <c r="C28" t="s">
        <v>236</v>
      </c>
      <c r="D28" t="s">
        <v>237</v>
      </c>
      <c r="E28" t="e" cm="1">
        <f t="array" ref="E28">_xll.ReadKSpice(_xlfn.CONCAT("/",$B$1,"/",$B$2,"/",D28,"@V_Unit=",F28))</f>
        <v>#N/A</v>
      </c>
      <c r="F28" t="s">
        <v>218</v>
      </c>
      <c r="G28" t="e">
        <f t="shared" si="1"/>
        <v>#N/A</v>
      </c>
    </row>
    <row r="29" spans="1:8" x14ac:dyDescent="0.3">
      <c r="A29" t="s">
        <v>13</v>
      </c>
      <c r="B29">
        <f>IFERROR(_xlfn.XLOOKUP(A29,'Appendix A'!A:A,'Appendix A'!E:E),"")</f>
        <v>49.37</v>
      </c>
      <c r="C29" t="s">
        <v>233</v>
      </c>
      <c r="D29" t="s">
        <v>234</v>
      </c>
      <c r="E29" t="e" cm="1">
        <f t="array" ref="E29">_xll.ReadKSpice(_xlfn.CONCAT("/",$B$1,"/",$B$2,"/",D29,"@V_Unit=",F29))</f>
        <v>#N/A</v>
      </c>
      <c r="F29" t="s">
        <v>14</v>
      </c>
      <c r="G29" t="e">
        <f t="shared" si="1"/>
        <v>#N/A</v>
      </c>
    </row>
    <row r="30" spans="1:8" x14ac:dyDescent="0.3">
      <c r="A30" t="s">
        <v>58</v>
      </c>
      <c r="B30">
        <f>IFERROR(_xlfn.XLOOKUP(A30,'Appendix A'!A:A,'Appendix A'!E:E),"")</f>
        <v>152.07</v>
      </c>
      <c r="C30" t="s">
        <v>120</v>
      </c>
      <c r="D30" t="s">
        <v>121</v>
      </c>
      <c r="E30" t="e" cm="1">
        <f t="array" ref="E30">_xll.ReadKSpice(_xlfn.CONCAT("/",$B$1,"/",$B$2,"/",D30,"@V_Unit=",F30))</f>
        <v>#N/A</v>
      </c>
      <c r="F30" t="s">
        <v>33</v>
      </c>
      <c r="G30" t="e">
        <f t="shared" si="1"/>
        <v>#N/A</v>
      </c>
    </row>
    <row r="31" spans="1:8" x14ac:dyDescent="0.3">
      <c r="A31" t="s">
        <v>25</v>
      </c>
      <c r="B31">
        <f>IFERROR(_xlfn.XLOOKUP(A31,'Appendix A'!A:A,'Appendix A'!E:E),"")</f>
        <v>57.95</v>
      </c>
      <c r="C31" t="s">
        <v>109</v>
      </c>
      <c r="D31" t="s">
        <v>110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37</v>
      </c>
    </row>
    <row r="32" spans="1:8" x14ac:dyDescent="0.3">
      <c r="A32" t="s">
        <v>25</v>
      </c>
      <c r="B32">
        <f>IFERROR(_xlfn.XLOOKUP(A32,'Appendix A'!A:A,'Appendix A'!E:E),"")</f>
        <v>57.95</v>
      </c>
      <c r="C32" t="s">
        <v>221</v>
      </c>
      <c r="D32" t="s">
        <v>222</v>
      </c>
      <c r="E32" t="e" cm="1">
        <f t="array" ref="E32">_xll.ReadKSpice(_xlfn.CONCAT("/",$B$1,"/",$B$2,"/",D32,"@V_Unit=",F32))</f>
        <v>#N/A</v>
      </c>
      <c r="F32" t="s">
        <v>14</v>
      </c>
      <c r="G32" t="e">
        <f t="shared" si="1"/>
        <v>#N/A</v>
      </c>
      <c r="H32" t="s">
        <v>108</v>
      </c>
    </row>
    <row r="33" spans="1:8" x14ac:dyDescent="0.3">
      <c r="G33" t="s">
        <v>202</v>
      </c>
    </row>
    <row r="34" spans="1:8" x14ac:dyDescent="0.3">
      <c r="A34" s="6" t="s">
        <v>15</v>
      </c>
      <c r="C34" s="7"/>
      <c r="D34" s="7"/>
      <c r="E34" s="7"/>
      <c r="F34" s="7"/>
      <c r="G34" s="7" t="s">
        <v>202</v>
      </c>
      <c r="H34" s="7"/>
    </row>
    <row r="35" spans="1:8" x14ac:dyDescent="0.3">
      <c r="A35" t="s">
        <v>56</v>
      </c>
      <c r="B35">
        <f>IFERROR(_xlfn.XLOOKUP(A35,'Appendix A'!A:A,'Appendix A'!E:E),"")</f>
        <v>7.41</v>
      </c>
      <c r="C35" t="s">
        <v>122</v>
      </c>
      <c r="D35" t="s">
        <v>123</v>
      </c>
      <c r="E35" t="e" cm="1">
        <f t="array" ref="E35">_xll.ReadKSpice(_xlfn.CONCAT("/",$B$1,"/",$B$2,"/",D35,"@V_Unit=",F35))</f>
        <v>#N/A</v>
      </c>
      <c r="F35" t="s">
        <v>229</v>
      </c>
      <c r="G35" t="e">
        <f>100*(E35-B35)/B35</f>
        <v>#N/A</v>
      </c>
      <c r="H35" t="s">
        <v>96</v>
      </c>
    </row>
    <row r="36" spans="1:8" x14ac:dyDescent="0.3">
      <c r="A36" t="s">
        <v>124</v>
      </c>
      <c r="B36" t="str">
        <f>IFERROR(_xlfn.XLOOKUP(A36,'Appendix A'!A:A,'Appendix A'!D:D),"")</f>
        <v/>
      </c>
      <c r="C36" t="s">
        <v>128</v>
      </c>
      <c r="D36" t="s">
        <v>129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126</v>
      </c>
    </row>
    <row r="37" spans="1:8" x14ac:dyDescent="0.3">
      <c r="A37" t="s">
        <v>125</v>
      </c>
      <c r="B37" t="str">
        <f>IFERROR(_xlfn.XLOOKUP(A37,'Appendix A'!A:A,'Appendix A'!D:D),"")</f>
        <v/>
      </c>
      <c r="C37" t="s">
        <v>128</v>
      </c>
      <c r="D37" t="s">
        <v>130</v>
      </c>
      <c r="E37" t="e" cm="1">
        <f t="array" ref="E37">_xll.ReadKSpice(_xlfn.CONCAT("/",$B$1,"/",$B$2,"/",D37,"@V_Unit=",F37))</f>
        <v>#N/A</v>
      </c>
      <c r="F37" t="s">
        <v>229</v>
      </c>
      <c r="G37" t="s">
        <v>202</v>
      </c>
      <c r="H37" t="s">
        <v>127</v>
      </c>
    </row>
    <row r="38" spans="1:8" x14ac:dyDescent="0.3">
      <c r="A38" t="s">
        <v>57</v>
      </c>
      <c r="B38">
        <f>IFERROR(_xlfn.XLOOKUP(A38,'Appendix A'!A:A,'Appendix A'!E:E),"")</f>
        <v>3.05</v>
      </c>
      <c r="C38" t="s">
        <v>128</v>
      </c>
      <c r="E38" t="e">
        <f>E37+E36</f>
        <v>#N/A</v>
      </c>
      <c r="F38" t="s">
        <v>229</v>
      </c>
      <c r="G38" t="e">
        <f>100*(E38-B38)/B38</f>
        <v>#N/A</v>
      </c>
      <c r="H38" t="s">
        <v>230</v>
      </c>
    </row>
    <row r="39" spans="1:8" x14ac:dyDescent="0.3">
      <c r="A39" t="s">
        <v>47</v>
      </c>
      <c r="B39">
        <f>IFERROR(_xlfn.XLOOKUP(A39,'Appendix A'!A:A,'Appendix A'!E:E),"")</f>
        <v>1040.05</v>
      </c>
      <c r="C39" t="s">
        <v>131</v>
      </c>
      <c r="D39" t="s">
        <v>133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ref="G39:G50" si="2">100*(E39-B39)/B39</f>
        <v>#N/A</v>
      </c>
    </row>
    <row r="40" spans="1:8" x14ac:dyDescent="0.3">
      <c r="A40" t="s">
        <v>66</v>
      </c>
      <c r="B40">
        <f>IFERROR(_xlfn.XLOOKUP(A40,'Appendix A'!A:A,'Appendix A'!E:E),"")</f>
        <v>1048.1300000000001</v>
      </c>
      <c r="C40" t="s">
        <v>132</v>
      </c>
      <c r="D40" t="s">
        <v>134</v>
      </c>
      <c r="E40" t="e" cm="1">
        <f t="array" ref="E40">_xll.ReadKSpice(_xlfn.CONCAT("/",$B$1,"/",$B$2,"/",D40,"@V_Unit=",F40))</f>
        <v>#N/A</v>
      </c>
      <c r="F40" t="s">
        <v>218</v>
      </c>
      <c r="G40" t="e">
        <f t="shared" si="2"/>
        <v>#N/A</v>
      </c>
    </row>
    <row r="41" spans="1:8" x14ac:dyDescent="0.3">
      <c r="A41" t="s">
        <v>16</v>
      </c>
      <c r="B41">
        <f>IFERROR(_xlfn.XLOOKUP(A41,'Appendix A'!A:A,'Appendix A'!E:E),"")</f>
        <v>46.68</v>
      </c>
      <c r="C41" t="s">
        <v>233</v>
      </c>
      <c r="D41" t="s">
        <v>234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  <c r="H41" t="s">
        <v>240</v>
      </c>
    </row>
    <row r="42" spans="1:8" x14ac:dyDescent="0.3">
      <c r="A42" t="s">
        <v>73</v>
      </c>
      <c r="B42">
        <f>IFERROR(_xlfn.XLOOKUP(A42,'Appendix A'!A:A,'Appendix A'!E:E),"")</f>
        <v>47.91</v>
      </c>
      <c r="C42" t="s">
        <v>137</v>
      </c>
      <c r="D42" t="s">
        <v>146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17</v>
      </c>
      <c r="B43">
        <f>IFERROR(_xlfn.XLOOKUP(A43,'Appendix A'!A:A,'Appendix A'!E:E),"")</f>
        <v>48.73</v>
      </c>
      <c r="C43" t="s">
        <v>18</v>
      </c>
      <c r="D43" t="s">
        <v>147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19</v>
      </c>
      <c r="B44">
        <f>IFERROR(_xlfn.XLOOKUP(A44,'Appendix A'!A:A,'Appendix A'!E:E),"")</f>
        <v>48.67</v>
      </c>
      <c r="C44" t="s">
        <v>138</v>
      </c>
      <c r="D44" t="s">
        <v>148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20</v>
      </c>
      <c r="B45">
        <f>IFERROR(_xlfn.XLOOKUP(A45,'Appendix A'!A:A,'Appendix A'!E:E),"")</f>
        <v>48.61</v>
      </c>
      <c r="C45" t="s">
        <v>139</v>
      </c>
      <c r="D45" t="s">
        <v>149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21</v>
      </c>
      <c r="B46">
        <f>IFERROR(_xlfn.XLOOKUP(A46,'Appendix A'!A:A,'Appendix A'!E:E),"")</f>
        <v>48.67</v>
      </c>
      <c r="C46" t="s">
        <v>140</v>
      </c>
      <c r="D46" t="s">
        <v>150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22</v>
      </c>
      <c r="B47">
        <f>IFERROR(_xlfn.XLOOKUP(A47,'Appendix A'!A:A,'Appendix A'!E:E),"")</f>
        <v>50.85</v>
      </c>
      <c r="C47" t="s">
        <v>141</v>
      </c>
      <c r="D47" t="s">
        <v>151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23</v>
      </c>
      <c r="B48">
        <f>IFERROR(_xlfn.XLOOKUP(A48,'Appendix A'!A:A,'Appendix A'!E:E),"")</f>
        <v>56.46</v>
      </c>
      <c r="C48" t="s">
        <v>142</v>
      </c>
      <c r="D48" t="s">
        <v>152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24</v>
      </c>
      <c r="B49">
        <f>IFERROR(_xlfn.XLOOKUP(A49,'Appendix A'!A:A,'Appendix A'!E:E),"")</f>
        <v>58.9</v>
      </c>
      <c r="C49" t="s">
        <v>143</v>
      </c>
      <c r="D49" t="s">
        <v>153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83</v>
      </c>
      <c r="B50">
        <f>IFERROR(_xlfn.XLOOKUP(A50,'Appendix A'!A:A,'Appendix A'!E:E),"")</f>
        <v>57.2</v>
      </c>
      <c r="C50" t="s">
        <v>144</v>
      </c>
      <c r="D50" t="s">
        <v>154</v>
      </c>
      <c r="E50" t="e" cm="1">
        <f t="array" ref="E50">_xll.ReadKSpice(_xlfn.CONCAT("/",$B$1,"/",$B$2,"/",D50,"@V_Unit=",F50))</f>
        <v>#N/A</v>
      </c>
      <c r="F50" t="s">
        <v>14</v>
      </c>
      <c r="G50" t="e">
        <f t="shared" si="2"/>
        <v>#N/A</v>
      </c>
    </row>
    <row r="51" spans="1:8" x14ac:dyDescent="0.3">
      <c r="A51" t="s">
        <v>70</v>
      </c>
      <c r="B51">
        <f>IFERROR(_xlfn.XLOOKUP(A51,'Appendix A'!A:A,'Appendix A'!E:E),"")</f>
        <v>6.97</v>
      </c>
      <c r="F51" t="s">
        <v>217</v>
      </c>
      <c r="G51" t="s">
        <v>202</v>
      </c>
    </row>
    <row r="52" spans="1:8" x14ac:dyDescent="0.3">
      <c r="A52" t="s">
        <v>64</v>
      </c>
      <c r="B52">
        <f>IFERROR(_xlfn.XLOOKUP(A52,'Appendix A'!A:A,'Appendix A'!E:E),"")</f>
        <v>11.32</v>
      </c>
      <c r="F52" t="s">
        <v>217</v>
      </c>
      <c r="G52" t="s">
        <v>202</v>
      </c>
      <c r="H52" t="s">
        <v>103</v>
      </c>
    </row>
    <row r="53" spans="1:8" x14ac:dyDescent="0.3">
      <c r="A53" t="s">
        <v>104</v>
      </c>
      <c r="B53">
        <f>B51+B52</f>
        <v>18.29</v>
      </c>
      <c r="C53" t="s">
        <v>145</v>
      </c>
      <c r="D53" t="s">
        <v>155</v>
      </c>
      <c r="E53" t="e" cm="1">
        <f t="array" ref="E53">_xll.ReadKSpice(_xlfn.CONCAT("/",$B$1,"/",$B$2,"/",D53,"@V_Unit=",F53))</f>
        <v>#N/A</v>
      </c>
      <c r="F53" t="s">
        <v>217</v>
      </c>
      <c r="G53" t="e">
        <f>100*(E53-B53)/B53</f>
        <v>#N/A</v>
      </c>
      <c r="H53" t="s">
        <v>241</v>
      </c>
    </row>
    <row r="54" spans="1:8" x14ac:dyDescent="0.3">
      <c r="G54" t="s">
        <v>202</v>
      </c>
    </row>
    <row r="55" spans="1:8" x14ac:dyDescent="0.3">
      <c r="A55" s="6" t="s">
        <v>97</v>
      </c>
      <c r="C55" s="7"/>
      <c r="D55" s="7"/>
      <c r="E55" s="7"/>
      <c r="F55" s="7"/>
      <c r="G55" s="7" t="s">
        <v>202</v>
      </c>
      <c r="H55" s="7"/>
    </row>
    <row r="56" spans="1:8" x14ac:dyDescent="0.3">
      <c r="A56" t="s">
        <v>59</v>
      </c>
      <c r="B56">
        <f>IFERROR(_xlfn.XLOOKUP(A56,'Appendix A'!A:A,'Appendix A'!E:E),"")</f>
        <v>156.94999999999999</v>
      </c>
      <c r="C56" t="s">
        <v>156</v>
      </c>
      <c r="D56" t="s">
        <v>157</v>
      </c>
      <c r="E56" t="e" cm="1">
        <f t="array" ref="E56">_xll.ReadKSpice(_xlfn.CONCAT("/",$B$1,"/",$B$2,"/",D56,"@V_Unit=",F56))</f>
        <v>#N/A</v>
      </c>
      <c r="F56" t="s">
        <v>33</v>
      </c>
      <c r="G56" t="e">
        <f>100*(E56-B56)/B56</f>
        <v>#N/A</v>
      </c>
    </row>
    <row r="57" spans="1:8" x14ac:dyDescent="0.3">
      <c r="A57" t="s">
        <v>74</v>
      </c>
      <c r="B57">
        <f>IFERROR(_xlfn.XLOOKUP(A57,'Appendix A'!A:A,'Appendix A'!E:E),"")</f>
        <v>47.67</v>
      </c>
      <c r="F57" t="s">
        <v>14</v>
      </c>
      <c r="G57" t="s">
        <v>202</v>
      </c>
      <c r="H57" t="s">
        <v>98</v>
      </c>
    </row>
    <row r="58" spans="1:8" x14ac:dyDescent="0.3">
      <c r="A58" t="s">
        <v>75</v>
      </c>
      <c r="B58">
        <f>IFERROR(_xlfn.XLOOKUP(A58,'Appendix A'!A:A,'Appendix A'!E:E),"")</f>
        <v>51.62</v>
      </c>
      <c r="C58" t="s">
        <v>158</v>
      </c>
      <c r="D58" t="s">
        <v>159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A59" t="s">
        <v>76</v>
      </c>
      <c r="B59">
        <f>IFERROR(_xlfn.XLOOKUP(A59,'Appendix A'!A:A,'Appendix A'!E:E),"")</f>
        <v>46.72</v>
      </c>
      <c r="C59" t="s">
        <v>161</v>
      </c>
      <c r="D59" t="s">
        <v>160</v>
      </c>
      <c r="E59" t="e" cm="1">
        <f t="array" ref="E59">_xll.ReadKSpice(_xlfn.CONCAT("/",$B$1,"/",$B$2,"/",D59,"@V_Unit=",F59))</f>
        <v>#N/A</v>
      </c>
      <c r="F59" t="s">
        <v>14</v>
      </c>
      <c r="G59" t="e">
        <f>100*(E59-B59)/B59</f>
        <v>#N/A</v>
      </c>
    </row>
    <row r="60" spans="1:8" x14ac:dyDescent="0.3">
      <c r="G60" t="s">
        <v>202</v>
      </c>
    </row>
    <row r="61" spans="1:8" x14ac:dyDescent="0.3">
      <c r="A61" s="6" t="s">
        <v>26</v>
      </c>
      <c r="C61" s="7"/>
      <c r="D61" s="7"/>
      <c r="E61" s="7"/>
      <c r="F61" s="7"/>
      <c r="G61" s="7" t="s">
        <v>202</v>
      </c>
      <c r="H61" s="7"/>
    </row>
    <row r="62" spans="1:8" x14ac:dyDescent="0.3">
      <c r="A62" t="s">
        <v>84</v>
      </c>
      <c r="B62">
        <f>IFERROR(_xlfn.XLOOKUP(A62,'Appendix A'!A:A,'Appendix A'!E:E),"")</f>
        <v>120.65</v>
      </c>
      <c r="C62" t="s">
        <v>162</v>
      </c>
      <c r="D62" t="s">
        <v>169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ref="G62:G69" si="3">100*(E62-B62)/B62</f>
        <v>#N/A</v>
      </c>
    </row>
    <row r="63" spans="1:8" x14ac:dyDescent="0.3">
      <c r="A63" t="s">
        <v>85</v>
      </c>
      <c r="B63">
        <f>IFERROR(_xlfn.XLOOKUP(A63,'Appendix A'!A:A,'Appendix A'!E:E),"")</f>
        <v>114.29</v>
      </c>
      <c r="C63" t="s">
        <v>163</v>
      </c>
      <c r="D63" t="s">
        <v>170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86</v>
      </c>
      <c r="B64">
        <f>IFERROR(_xlfn.XLOOKUP(A64,'Appendix A'!A:A,'Appendix A'!E:E),"")</f>
        <v>109.7</v>
      </c>
      <c r="C64" t="s">
        <v>164</v>
      </c>
      <c r="D64" t="s">
        <v>171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87</v>
      </c>
      <c r="B65">
        <f>IFERROR(_xlfn.XLOOKUP(A65,'Appendix A'!A:A,'Appendix A'!E:E),"")</f>
        <v>106.01</v>
      </c>
      <c r="C65" t="s">
        <v>165</v>
      </c>
      <c r="D65" t="s">
        <v>172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88</v>
      </c>
      <c r="B66">
        <f>IFERROR(_xlfn.XLOOKUP(A66,'Appendix A'!A:A,'Appendix A'!E:E),"")</f>
        <v>104.84</v>
      </c>
      <c r="C66" t="s">
        <v>166</v>
      </c>
      <c r="D66" t="s">
        <v>173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79</v>
      </c>
      <c r="B67">
        <f>IFERROR(_xlfn.XLOOKUP(A67,'Appendix A'!A:A,'Appendix A'!E:E),"")</f>
        <v>105.29</v>
      </c>
      <c r="C67" t="s">
        <v>227</v>
      </c>
      <c r="D67" t="s">
        <v>228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81</v>
      </c>
      <c r="B68">
        <f>IFERROR(_xlfn.XLOOKUP(A68,'Appendix A'!A:A,'Appendix A'!E:E),"")</f>
        <v>118.52</v>
      </c>
      <c r="C68" t="s">
        <v>167</v>
      </c>
      <c r="D68" t="s">
        <v>174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A69" t="s">
        <v>82</v>
      </c>
      <c r="B69">
        <f>IFERROR(_xlfn.XLOOKUP(A69,'Appendix A'!A:A,'Appendix A'!E:E),"")</f>
        <v>103.72</v>
      </c>
      <c r="C69" t="s">
        <v>168</v>
      </c>
      <c r="D69" t="s">
        <v>175</v>
      </c>
      <c r="E69" t="e" cm="1">
        <f t="array" ref="E69">_xll.ReadKSpice(_xlfn.CONCAT("/",$B$1,"/",$B$2,"/",D69,"@V_Unit=",F69))</f>
        <v>#N/A</v>
      </c>
      <c r="F69" t="s">
        <v>14</v>
      </c>
      <c r="G69" t="e">
        <f t="shared" si="3"/>
        <v>#N/A</v>
      </c>
    </row>
    <row r="70" spans="1:8" x14ac:dyDescent="0.3">
      <c r="G70" t="s">
        <v>202</v>
      </c>
    </row>
    <row r="71" spans="1:8" x14ac:dyDescent="0.3">
      <c r="A71" s="8" t="s">
        <v>27</v>
      </c>
      <c r="C71" s="7"/>
      <c r="D71" s="7"/>
      <c r="E71" s="7"/>
      <c r="F71" s="7"/>
      <c r="G71" s="7" t="s">
        <v>202</v>
      </c>
      <c r="H71" s="7"/>
    </row>
    <row r="72" spans="1:8" x14ac:dyDescent="0.3">
      <c r="A72" t="s">
        <v>60</v>
      </c>
      <c r="B72">
        <f>IFERROR(_xlfn.XLOOKUP(A72,'Appendix A'!A:A,'Appendix A'!E:E),"")</f>
        <v>4.5999999999999996</v>
      </c>
      <c r="C72" t="s">
        <v>176</v>
      </c>
      <c r="D72" t="s">
        <v>181</v>
      </c>
      <c r="E72" t="e" cm="1">
        <f t="array" ref="E72">_xll.ReadKSpice(_xlfn.CONCAT("/",$B$1,"/",$B$2,"/",D72,"@V_Unit=",F72))</f>
        <v>#N/A</v>
      </c>
      <c r="F72" t="s">
        <v>33</v>
      </c>
      <c r="G72" t="e">
        <f t="shared" ref="G72:G77" si="4">100*(E72-B72)/B72</f>
        <v>#N/A</v>
      </c>
    </row>
    <row r="73" spans="1:8" x14ac:dyDescent="0.3">
      <c r="A73" t="s">
        <v>63</v>
      </c>
      <c r="B73">
        <f>IFERROR(_xlfn.XLOOKUP(A73,'Appendix A'!A:A,'Appendix A'!E:E),"")</f>
        <v>10.02</v>
      </c>
      <c r="C73" t="s">
        <v>177</v>
      </c>
      <c r="D73" t="s">
        <v>182</v>
      </c>
      <c r="E73" t="e" cm="1">
        <f t="array" ref="E73">_xll.ReadKSpice(_xlfn.CONCAT("/",$B$1,"/",$B$2,"/",D73,"@V_Unit=",F73))</f>
        <v>#N/A</v>
      </c>
      <c r="F73" t="s">
        <v>41</v>
      </c>
      <c r="G73" t="e">
        <f t="shared" si="4"/>
        <v>#N/A</v>
      </c>
    </row>
    <row r="74" spans="1:8" x14ac:dyDescent="0.3">
      <c r="A74" t="s">
        <v>65</v>
      </c>
      <c r="B74">
        <f>IFERROR(_xlfn.XLOOKUP(A74,'Appendix A'!A:A,'Appendix A'!E:E),"")</f>
        <v>53.84</v>
      </c>
      <c r="C74" t="s">
        <v>226</v>
      </c>
      <c r="D74" t="s">
        <v>225</v>
      </c>
      <c r="E74" t="e" cm="1">
        <f t="array" ref="E74">_xll.ReadKSpice(_xlfn.CONCAT("/",$B$1,"/",$B$2,"/",D74,"@V_Unit=",F74))</f>
        <v>#N/A</v>
      </c>
      <c r="F74" t="s">
        <v>217</v>
      </c>
      <c r="G74" t="e">
        <f t="shared" si="4"/>
        <v>#N/A</v>
      </c>
    </row>
    <row r="75" spans="1:8" x14ac:dyDescent="0.3">
      <c r="A75" t="s">
        <v>68</v>
      </c>
      <c r="B75">
        <f>IFERROR(_xlfn.XLOOKUP(A75,'Appendix A'!A:A,'Appendix A'!E:E),"")</f>
        <v>0.9</v>
      </c>
      <c r="C75" t="s">
        <v>178</v>
      </c>
      <c r="D75" t="s">
        <v>183</v>
      </c>
      <c r="E75" t="e" cm="1">
        <f t="array" ref="E75">_xll.ReadKSpice(_xlfn.CONCAT("/",$B$1,"/",$B$2,"/",D75,"@V_Unit=",F75))</f>
        <v>#N/A</v>
      </c>
      <c r="F75" t="s">
        <v>51</v>
      </c>
      <c r="G75" t="e">
        <f t="shared" si="4"/>
        <v>#N/A</v>
      </c>
    </row>
    <row r="76" spans="1:8" x14ac:dyDescent="0.3">
      <c r="A76" t="s">
        <v>80</v>
      </c>
      <c r="B76">
        <f>IFERROR(_xlfn.XLOOKUP(A76,'Appendix A'!A:A,'Appendix A'!E:E),"")</f>
        <v>24.87</v>
      </c>
      <c r="C76" t="s">
        <v>179</v>
      </c>
      <c r="D76" t="s">
        <v>184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A77" t="s">
        <v>206</v>
      </c>
      <c r="B77">
        <f>IFERROR(_xlfn.XLOOKUP(A77,'Appendix A'!A:A,'Appendix A'!E:E),"")</f>
        <v>121.07</v>
      </c>
      <c r="C77" t="s">
        <v>180</v>
      </c>
      <c r="D77" t="s">
        <v>185</v>
      </c>
      <c r="E77" t="e" cm="1">
        <f t="array" ref="E77">_xll.ReadKSpice(_xlfn.CONCAT("/",$B$1,"/",$B$2,"/",D77,"@V_Unit=",F77))</f>
        <v>#N/A</v>
      </c>
      <c r="F77" t="s">
        <v>14</v>
      </c>
      <c r="G77" t="e">
        <f t="shared" si="4"/>
        <v>#N/A</v>
      </c>
    </row>
    <row r="78" spans="1:8" x14ac:dyDescent="0.3">
      <c r="G78" t="s">
        <v>202</v>
      </c>
    </row>
    <row r="79" spans="1:8" x14ac:dyDescent="0.3">
      <c r="A79" s="6" t="s">
        <v>28</v>
      </c>
      <c r="C79" s="7"/>
      <c r="D79" s="7"/>
      <c r="E79" s="7"/>
      <c r="F79" s="7"/>
      <c r="G79" s="7" t="s">
        <v>202</v>
      </c>
      <c r="H79" s="7"/>
    </row>
    <row r="80" spans="1:8" x14ac:dyDescent="0.3">
      <c r="A80" t="s">
        <v>61</v>
      </c>
      <c r="B80">
        <f>IFERROR(_xlfn.XLOOKUP(A80,'Appendix A'!A:A,'Appendix A'!E:E),"")</f>
        <v>8.99</v>
      </c>
      <c r="C80" t="s">
        <v>186</v>
      </c>
      <c r="D80" t="s">
        <v>187</v>
      </c>
      <c r="E80" t="e" cm="1">
        <f t="array" ref="E80">_xll.ReadKSpice(_xlfn.CONCAT("/",$B$1,"/",$B$2,"/",D80,"@V_Unit=",F80))</f>
        <v>#N/A</v>
      </c>
      <c r="F80" t="s">
        <v>33</v>
      </c>
      <c r="G80" t="e">
        <f>100*(E80-B80)/B80</f>
        <v>#N/A</v>
      </c>
    </row>
    <row r="81" spans="1:8" x14ac:dyDescent="0.3">
      <c r="A81" t="s">
        <v>69</v>
      </c>
      <c r="B81">
        <f>IFERROR(_xlfn.XLOOKUP(A81,'Appendix A'!A:A,'Appendix A'!E:E),"")</f>
        <v>0.88</v>
      </c>
      <c r="C81" t="s">
        <v>223</v>
      </c>
      <c r="D81" t="s">
        <v>224</v>
      </c>
      <c r="E81" t="e" cm="1">
        <f t="array" ref="E81">_xll.ReadKSpice(_xlfn.CONCAT("/",$B$1,"/",$B$2,"/",D81,"@V_Unit=",F81))</f>
        <v>#N/A</v>
      </c>
      <c r="F81" t="s">
        <v>51</v>
      </c>
      <c r="G81" t="e">
        <f>100*(E81-B81)/B81</f>
        <v>#N/A</v>
      </c>
    </row>
    <row r="82" spans="1:8" x14ac:dyDescent="0.3">
      <c r="G82" t="s">
        <v>202</v>
      </c>
    </row>
    <row r="83" spans="1:8" x14ac:dyDescent="0.3">
      <c r="A83" s="6" t="s">
        <v>99</v>
      </c>
      <c r="B83" t="str">
        <f>IFERROR(_xlfn.XLOOKUP(A83,'Appendix A'!A:A,'Appendix A'!D:D),"")</f>
        <v/>
      </c>
      <c r="C83" s="7"/>
      <c r="D83" s="7"/>
      <c r="E83" s="7"/>
      <c r="F83" s="7"/>
      <c r="G83" s="7" t="s">
        <v>202</v>
      </c>
      <c r="H83" s="7"/>
    </row>
    <row r="84" spans="1:8" x14ac:dyDescent="0.3">
      <c r="A84" t="s">
        <v>92</v>
      </c>
      <c r="B84">
        <f>IFERROR(_xlfn.XLOOKUP(A84,'Appendix A'!A:A,'Appendix A'!E:E),"")</f>
        <v>49.43</v>
      </c>
      <c r="C84" t="s">
        <v>188</v>
      </c>
      <c r="D84" t="s">
        <v>191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</row>
    <row r="85" spans="1:8" x14ac:dyDescent="0.3">
      <c r="A85" t="s">
        <v>135</v>
      </c>
      <c r="B85" t="str">
        <f>IFERROR(_xlfn.XLOOKUP(A85,'Appendix A'!A:A,'Appendix A'!E:E),"")</f>
        <v/>
      </c>
      <c r="C85" t="s">
        <v>189</v>
      </c>
      <c r="D85" t="s">
        <v>192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  <c r="H85" t="s">
        <v>136</v>
      </c>
    </row>
    <row r="86" spans="1:8" x14ac:dyDescent="0.3">
      <c r="A86" t="s">
        <v>78</v>
      </c>
      <c r="B86">
        <f>IFERROR(_xlfn.XLOOKUP(A86,'Appendix A'!A:A,'Appendix A'!E:E),"")</f>
        <v>109.62</v>
      </c>
      <c r="C86" t="s">
        <v>190</v>
      </c>
      <c r="D86" t="s">
        <v>193</v>
      </c>
      <c r="E86" t="e" cm="1">
        <f t="array" ref="E86">_xll.ReadKSpice(_xlfn.CONCAT("/",$B$1,"/",$B$2,"/",D86,"@V_Unit=",F86))</f>
        <v>#N/A</v>
      </c>
      <c r="F86" t="s">
        <v>14</v>
      </c>
      <c r="G86" t="e">
        <f>100*(E86-B86)/B86</f>
        <v>#N/A</v>
      </c>
    </row>
    <row r="87" spans="1:8" x14ac:dyDescent="0.3">
      <c r="G87" t="s">
        <v>202</v>
      </c>
    </row>
    <row r="88" spans="1:8" x14ac:dyDescent="0.3">
      <c r="A88" s="6" t="s">
        <v>100</v>
      </c>
      <c r="C88" s="7"/>
      <c r="D88" s="7"/>
      <c r="E88" s="7"/>
      <c r="F88" s="7"/>
      <c r="G88" s="7" t="s">
        <v>202</v>
      </c>
      <c r="H88" s="7"/>
    </row>
    <row r="89" spans="1:8" x14ac:dyDescent="0.3">
      <c r="A89" t="s">
        <v>89</v>
      </c>
      <c r="B89">
        <f>IFERROR(_xlfn.XLOOKUP(A89,'Appendix A'!A:A,'Appendix A'!E:E),"")</f>
        <v>30.74</v>
      </c>
      <c r="C89" t="s">
        <v>194</v>
      </c>
      <c r="D89" t="s">
        <v>196</v>
      </c>
      <c r="E89" t="e" cm="1">
        <f t="array" ref="E89">_xll.ReadKSpice(_xlfn.CONCAT("/",$B$1,"/",$B$2,"/",D89,"@V_Unit=",F89))</f>
        <v>#N/A</v>
      </c>
      <c r="F89" t="s">
        <v>14</v>
      </c>
      <c r="G89" t="e">
        <f>100*(E89-B89)/B89</f>
        <v>#N/A</v>
      </c>
      <c r="H89" s="3"/>
    </row>
    <row r="90" spans="1:8" x14ac:dyDescent="0.3">
      <c r="G90" t="s">
        <v>202</v>
      </c>
    </row>
    <row r="91" spans="1:8" x14ac:dyDescent="0.3">
      <c r="A91" s="6" t="s">
        <v>101</v>
      </c>
      <c r="C91" s="7"/>
      <c r="D91" s="7"/>
      <c r="E91" s="7"/>
      <c r="F91" s="7"/>
      <c r="G91" s="7" t="s">
        <v>202</v>
      </c>
      <c r="H91" s="7"/>
    </row>
    <row r="92" spans="1:8" x14ac:dyDescent="0.3">
      <c r="A92" t="s">
        <v>90</v>
      </c>
      <c r="B92">
        <f>IFERROR(_xlfn.XLOOKUP(A92,'Appendix A'!A:A,'Appendix A'!E:E),"")</f>
        <v>29.4</v>
      </c>
      <c r="C92" t="s">
        <v>195</v>
      </c>
      <c r="D92" t="s">
        <v>197</v>
      </c>
      <c r="E92" t="e" cm="1">
        <f t="array" ref="E92">_xll.ReadKSpice(_xlfn.CONCAT("/",$B$1,"/",$B$2,"/",D92,"@V_Unit=",F92))</f>
        <v>#N/A</v>
      </c>
      <c r="F92" t="s">
        <v>14</v>
      </c>
      <c r="G92" t="e">
        <f>100*(E92-B92)/B92</f>
        <v>#N/A</v>
      </c>
    </row>
    <row r="93" spans="1:8" x14ac:dyDescent="0.3">
      <c r="G93" t="s">
        <v>202</v>
      </c>
    </row>
    <row r="94" spans="1:8" x14ac:dyDescent="0.3">
      <c r="A94" s="6" t="s">
        <v>102</v>
      </c>
      <c r="C94" s="7"/>
      <c r="D94" s="7"/>
      <c r="E94" s="7"/>
      <c r="F94" s="7"/>
      <c r="G94" s="7" t="s">
        <v>202</v>
      </c>
      <c r="H94" s="7"/>
    </row>
    <row r="95" spans="1:8" x14ac:dyDescent="0.3">
      <c r="A95" t="s">
        <v>62</v>
      </c>
      <c r="B95">
        <f>IFERROR(_xlfn.XLOOKUP(A95,'Appendix A'!A:A,'Appendix A'!E:E),"")</f>
        <v>294.18</v>
      </c>
      <c r="E95" t="e" cm="1">
        <f t="array" ref="E95">_xll.ReadKSpice(_xlfn.CONCAT("/",$B$1,"/",$B$2,"/",D95,"@V_Unit=",F95))</f>
        <v>#N/A</v>
      </c>
      <c r="F95" t="s">
        <v>33</v>
      </c>
      <c r="G95" t="e">
        <f>100*(E95-B95)/B95</f>
        <v>#N/A</v>
      </c>
    </row>
    <row r="96" spans="1:8" s="3" customFormat="1" x14ac:dyDescent="0.3">
      <c r="A96" t="s">
        <v>71</v>
      </c>
      <c r="B96">
        <f>IFERROR(_xlfn.XLOOKUP(A96,'Appendix A'!A:A,'Appendix A'!E:E),"")</f>
        <v>1.0529999999999999</v>
      </c>
      <c r="C96"/>
      <c r="D96"/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7" x14ac:dyDescent="0.3">
      <c r="A97" t="s">
        <v>72</v>
      </c>
      <c r="B97">
        <f>IFERROR(_xlfn.XLOOKUP(A97,'Appendix A'!A:A,'Appendix A'!E:E),"")</f>
        <v>1.1020000000000001</v>
      </c>
      <c r="E97" t="e" cm="1">
        <f t="array" ref="E97">_xll.ReadKSpice(_xlfn.CONCAT("/",$B$1,"/",$B$2,"/",D97,"@V_Unit=",F97))</f>
        <v>#N/A</v>
      </c>
      <c r="F97" t="s">
        <v>95</v>
      </c>
      <c r="G97" t="e">
        <f>100*(E97-B97)/B97</f>
        <v>#N/A</v>
      </c>
    </row>
    <row r="98" spans="1:7" x14ac:dyDescent="0.3">
      <c r="A98" t="s">
        <v>77</v>
      </c>
      <c r="B98">
        <f>IFERROR(_xlfn.XLOOKUP(A98,'Appendix A'!A:A,'Appendix A'!E:E),"")</f>
        <v>35.950000000000003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7" x14ac:dyDescent="0.3">
      <c r="A99" t="s">
        <v>91</v>
      </c>
      <c r="B99">
        <f>IFERROR(_xlfn.XLOOKUP(A99,'Appendix A'!A:A,'Appendix A'!E:E),"")</f>
        <v>36.68</v>
      </c>
      <c r="E99" t="e" cm="1">
        <f t="array" ref="E99">_xll.ReadKSpice(_xlfn.CONCAT("/",$B$1,"/",$B$2,"/",D99,"@V_Unit=",F99))</f>
        <v>#N/A</v>
      </c>
      <c r="F99" t="s">
        <v>14</v>
      </c>
      <c r="G99" t="e">
        <f>100*(E99-B99)/B99</f>
        <v>#N/A</v>
      </c>
    </row>
    <row r="100" spans="1:7" x14ac:dyDescent="0.3">
      <c r="B100" s="9"/>
    </row>
    <row r="121" spans="1:4" x14ac:dyDescent="0.3">
      <c r="A121" s="3"/>
    </row>
    <row r="122" spans="1:4" x14ac:dyDescent="0.3">
      <c r="C122" s="10"/>
      <c r="D122" s="10"/>
    </row>
    <row r="126" spans="1:4" x14ac:dyDescent="0.3">
      <c r="A126" s="3"/>
    </row>
    <row r="132" spans="1:4" x14ac:dyDescent="0.3">
      <c r="A132" s="1"/>
      <c r="C132" s="1"/>
      <c r="D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  <row r="139" spans="1:4" x14ac:dyDescent="0.3">
      <c r="A139" s="1"/>
    </row>
  </sheetData>
  <conditionalFormatting sqref="G13:G99">
    <cfRule type="expression" dxfId="17" priority="1">
      <formula>ABS(G13)&gt;10</formula>
    </cfRule>
    <cfRule type="expression" dxfId="16" priority="2">
      <formula>AND(ABS(G13)&gt;=5,ABS(G13)&lt;10)</formula>
    </cfRule>
    <cfRule type="expression" dxfId="15" priority="3">
      <formula>ABS(G13)&lt;5</formula>
    </cfRule>
  </conditionalFormatting>
  <pageMargins left="0.7" right="0.7" top="0.75" bottom="0.75" header="0.3" footer="0.3"/>
  <headerFooter>
    <oddFooter>&amp;C_x000D_&amp;1#&amp;"Aptos"&amp;14&amp;K000000 KDI LIMITED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E90D-FDD6-4E60-AE15-19D8967A9140}">
  <dimension ref="A1:J139"/>
  <sheetViews>
    <sheetView zoomScale="55" zoomScaleNormal="55" workbookViewId="0">
      <selection activeCell="E95" sqref="E95:E99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4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A'!F:F),"")</f>
        <v>100.1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4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A'!F:F),"")</f>
        <v>142.13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67</v>
      </c>
      <c r="B15">
        <f>IFERROR(_xlfn.XLOOKUP(A15,'Appendix A'!A:A,'Appendix A'!F:F),"")</f>
        <v>1035.01</v>
      </c>
      <c r="C15" t="s">
        <v>238</v>
      </c>
      <c r="D15" t="s">
        <v>235</v>
      </c>
      <c r="E15" t="e" cm="1">
        <f t="array" ref="E15">_xll.ReadKSpice(_xlfn.CONCAT("/",$B$1,"/",$B$2,"/",D15,"@V_Unit=",F15))</f>
        <v>#N/A</v>
      </c>
      <c r="F15" t="s">
        <v>218</v>
      </c>
      <c r="G15" t="e">
        <f t="shared" si="0"/>
        <v>#N/A</v>
      </c>
      <c r="H15" t="s">
        <v>239</v>
      </c>
    </row>
    <row r="16" spans="1:10" x14ac:dyDescent="0.3">
      <c r="A16" t="s">
        <v>25</v>
      </c>
      <c r="B16">
        <f>IFERROR(_xlfn.XLOOKUP(A16,'Appendix A'!A:A,'Appendix A'!F:F),"")</f>
        <v>53.51</v>
      </c>
      <c r="C16" t="s">
        <v>107</v>
      </c>
      <c r="D16" t="s">
        <v>113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37</v>
      </c>
    </row>
    <row r="17" spans="1:8" x14ac:dyDescent="0.3">
      <c r="A17" t="s">
        <v>25</v>
      </c>
      <c r="B17">
        <f>IFERROR(_xlfn.XLOOKUP(A17,'Appendix A'!A:A,'Appendix A'!F:F),"")</f>
        <v>53.51</v>
      </c>
      <c r="C17" t="s">
        <v>38</v>
      </c>
      <c r="D17" t="s">
        <v>220</v>
      </c>
      <c r="E17" t="e" cm="1">
        <f t="array" ref="E17">_xll.ReadKSpice(_xlfn.CONCAT("/",$B$1,"/",$B$2,"/",D17,"@V_Unit=",F17))</f>
        <v>#N/A</v>
      </c>
      <c r="F17" t="s">
        <v>14</v>
      </c>
      <c r="G17" t="e">
        <f t="shared" si="0"/>
        <v>#N/A</v>
      </c>
      <c r="H17" t="s">
        <v>108</v>
      </c>
    </row>
    <row r="18" spans="1:8" x14ac:dyDescent="0.3">
      <c r="A18" t="s">
        <v>63</v>
      </c>
      <c r="B18">
        <f>IFERROR(_xlfn.XLOOKUP(A18,'Appendix A'!A:A,'Appendix A'!F:F),"")</f>
        <v>8.2899999999999991</v>
      </c>
      <c r="C18" t="s">
        <v>40</v>
      </c>
      <c r="D18" t="s">
        <v>219</v>
      </c>
      <c r="E18" t="e" cm="1">
        <f t="array" ref="E18">_xll.ReadKSpice(_xlfn.CONCAT("/",$B$1,"/",$B$2,"/",D18,"@V_Unit=",F18))</f>
        <v>#N/A</v>
      </c>
      <c r="F18" t="s">
        <v>41</v>
      </c>
      <c r="G18" t="e">
        <f t="shared" si="0"/>
        <v>#N/A</v>
      </c>
      <c r="H18" t="s">
        <v>39</v>
      </c>
    </row>
    <row r="19" spans="1:8" x14ac:dyDescent="0.3">
      <c r="A19" t="s">
        <v>16</v>
      </c>
      <c r="B19">
        <f>IFERROR(_xlfn.XLOOKUP(A19,'Appendix A'!A:A,'Appendix A'!F:F),"")</f>
        <v>41.78</v>
      </c>
      <c r="C19" t="s">
        <v>231</v>
      </c>
      <c r="D19" t="s">
        <v>232</v>
      </c>
      <c r="E19" t="e" cm="1">
        <f t="array" ref="E19">_xll.ReadKSpice(_xlfn.CONCAT("/",$B$1,"/",$B$2,"/",D19,"@V_Unit=",F19))</f>
        <v>#N/A</v>
      </c>
      <c r="F19" t="s">
        <v>14</v>
      </c>
      <c r="G19" t="e">
        <f t="shared" si="0"/>
        <v>#N/A</v>
      </c>
      <c r="H19" t="s">
        <v>42</v>
      </c>
    </row>
    <row r="20" spans="1:8" x14ac:dyDescent="0.3">
      <c r="B20" t="str">
        <f>IFERROR(_xlfn.XLOOKUP(A20,'Appendix A'!A:A,'Appendix A'!F:F),"")</f>
        <v/>
      </c>
      <c r="C20" t="s">
        <v>105</v>
      </c>
      <c r="D20" t="s">
        <v>114</v>
      </c>
      <c r="E20" t="e" cm="1">
        <f t="array" ref="E20">_xll.ReadKSpice(_xlfn.CONCAT("/",$B$1,"/",$B$2,"/",D20,"@V_Unit=",F20))</f>
        <v>#N/A</v>
      </c>
      <c r="F20" t="s">
        <v>43</v>
      </c>
      <c r="G20" t="e">
        <f t="shared" si="0"/>
        <v>#N/A</v>
      </c>
      <c r="H20" t="s">
        <v>44</v>
      </c>
    </row>
    <row r="21" spans="1:8" x14ac:dyDescent="0.3">
      <c r="A21" t="s">
        <v>47</v>
      </c>
      <c r="B21">
        <f>IFERROR(_xlfn.XLOOKUP(A21,'Appendix A'!A:A,'Appendix A'!F:F),"")</f>
        <v>1027.44</v>
      </c>
      <c r="C21" t="s">
        <v>46</v>
      </c>
      <c r="D21" t="s">
        <v>115</v>
      </c>
      <c r="E21" t="e" cm="1">
        <f t="array" ref="E21">_xll.ReadKSpice(_xlfn.CONCAT("/",$B$1,"/",$B$2,"/",D21,"@V_Unit=",F21))</f>
        <v>#N/A</v>
      </c>
      <c r="F21" t="s">
        <v>218</v>
      </c>
      <c r="G21" t="e">
        <f t="shared" si="0"/>
        <v>#N/A</v>
      </c>
      <c r="H21" t="s">
        <v>45</v>
      </c>
    </row>
    <row r="22" spans="1:8" x14ac:dyDescent="0.3">
      <c r="A22" t="s">
        <v>68</v>
      </c>
      <c r="B22">
        <f>IFERROR(_xlfn.XLOOKUP(A22,'Appendix A'!A:A,'Appendix A'!F:F),"")</f>
        <v>0.9</v>
      </c>
      <c r="C22" t="s">
        <v>49</v>
      </c>
      <c r="D22" t="s">
        <v>116</v>
      </c>
      <c r="E22" t="e" cm="1">
        <f t="array" ref="E22">_xll.ReadKSpice(_xlfn.CONCAT("/",$B$1,"/",$B$2,"/",D22,"@V_Unit=",F22))</f>
        <v>#N/A</v>
      </c>
      <c r="F22" t="s">
        <v>51</v>
      </c>
      <c r="G22" t="e">
        <f t="shared" si="0"/>
        <v>#N/A</v>
      </c>
      <c r="H22" t="s">
        <v>48</v>
      </c>
    </row>
    <row r="23" spans="1:8" x14ac:dyDescent="0.3">
      <c r="A23" t="s">
        <v>89</v>
      </c>
      <c r="B23">
        <f>IFERROR(_xlfn.XLOOKUP(A23,'Appendix A'!A:A,'Appendix A'!F:F),"")</f>
        <v>30.62</v>
      </c>
      <c r="C23" t="s">
        <v>53</v>
      </c>
      <c r="D23" t="s">
        <v>117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52</v>
      </c>
    </row>
    <row r="24" spans="1:8" x14ac:dyDescent="0.3">
      <c r="A24" t="s">
        <v>90</v>
      </c>
      <c r="B24">
        <f>IFERROR(_xlfn.XLOOKUP(A24,'Appendix A'!A:A,'Appendix A'!F:F),"")</f>
        <v>22.57</v>
      </c>
      <c r="C24" t="s">
        <v>55</v>
      </c>
      <c r="D24" t="s">
        <v>118</v>
      </c>
      <c r="E24" t="e" cm="1">
        <f t="array" ref="E24">_xll.ReadKSpice(_xlfn.CONCAT("/",$B$1,"/",$B$2,"/",D24,"@V_Unit=",F24))</f>
        <v>#N/A</v>
      </c>
      <c r="F24" t="s">
        <v>14</v>
      </c>
      <c r="G24" t="e">
        <f t="shared" si="0"/>
        <v>#N/A</v>
      </c>
      <c r="H24" t="s">
        <v>54</v>
      </c>
    </row>
    <row r="25" spans="1:8" x14ac:dyDescent="0.3">
      <c r="G25" t="s">
        <v>202</v>
      </c>
    </row>
    <row r="26" spans="1:8" x14ac:dyDescent="0.3">
      <c r="A26" s="6" t="s">
        <v>10</v>
      </c>
      <c r="C26" s="7"/>
      <c r="D26" s="7"/>
      <c r="E26" s="7"/>
      <c r="F26" s="7"/>
      <c r="G26" s="7" t="s">
        <v>202</v>
      </c>
      <c r="H26" s="7"/>
    </row>
    <row r="27" spans="1:8" x14ac:dyDescent="0.3">
      <c r="A27" t="s">
        <v>11</v>
      </c>
      <c r="B27">
        <f>IFERROR(_xlfn.XLOOKUP(A27,'Appendix A'!A:A,'Appendix A'!F:F),"")</f>
        <v>100.1</v>
      </c>
      <c r="C27" t="s">
        <v>12</v>
      </c>
      <c r="D27" t="s">
        <v>119</v>
      </c>
      <c r="E27" t="e" cm="1">
        <f t="array" ref="E27">_xll.ReadKSpice(_xlfn.CONCAT("/",$B$1,"/",$B$2,"/",D27,"@V_Unit=",F27))</f>
        <v>#N/A</v>
      </c>
      <c r="F27" t="s">
        <v>31</v>
      </c>
      <c r="G27" t="e">
        <f t="shared" ref="G27:G32" si="1">100*(E27-B27)/B27</f>
        <v>#N/A</v>
      </c>
    </row>
    <row r="28" spans="1:8" x14ac:dyDescent="0.3">
      <c r="A28" t="s">
        <v>67</v>
      </c>
      <c r="B28">
        <f>IFERROR(_xlfn.XLOOKUP(A28,'Appendix A'!A:A,'Appendix A'!F:F),"")</f>
        <v>1035.01</v>
      </c>
      <c r="C28" t="s">
        <v>236</v>
      </c>
      <c r="D28" t="s">
        <v>237</v>
      </c>
      <c r="E28" t="e" cm="1">
        <f t="array" ref="E28">_xll.ReadKSpice(_xlfn.CONCAT("/",$B$1,"/",$B$2,"/",D28,"@V_Unit=",F28))</f>
        <v>#N/A</v>
      </c>
      <c r="F28" t="s">
        <v>218</v>
      </c>
      <c r="G28" t="e">
        <f t="shared" si="1"/>
        <v>#N/A</v>
      </c>
    </row>
    <row r="29" spans="1:8" x14ac:dyDescent="0.3">
      <c r="A29" t="s">
        <v>13</v>
      </c>
      <c r="B29">
        <f>IFERROR(_xlfn.XLOOKUP(A29,'Appendix A'!A:A,'Appendix A'!F:F),"")</f>
        <v>43.55</v>
      </c>
      <c r="C29" t="s">
        <v>233</v>
      </c>
      <c r="D29" t="s">
        <v>234</v>
      </c>
      <c r="E29" t="e" cm="1">
        <f t="array" ref="E29">_xll.ReadKSpice(_xlfn.CONCAT("/",$B$1,"/",$B$2,"/",D29,"@V_Unit=",F29))</f>
        <v>#N/A</v>
      </c>
      <c r="F29" t="s">
        <v>14</v>
      </c>
      <c r="G29" t="e">
        <f t="shared" si="1"/>
        <v>#N/A</v>
      </c>
    </row>
    <row r="30" spans="1:8" x14ac:dyDescent="0.3">
      <c r="A30" t="s">
        <v>58</v>
      </c>
      <c r="B30">
        <f>IFERROR(_xlfn.XLOOKUP(A30,'Appendix A'!A:A,'Appendix A'!F:F),"")</f>
        <v>142.13</v>
      </c>
      <c r="C30" t="s">
        <v>120</v>
      </c>
      <c r="D30" t="s">
        <v>121</v>
      </c>
      <c r="E30" t="e" cm="1">
        <f t="array" ref="E30">_xll.ReadKSpice(_xlfn.CONCAT("/",$B$1,"/",$B$2,"/",D30,"@V_Unit=",F30))</f>
        <v>#N/A</v>
      </c>
      <c r="F30" t="s">
        <v>33</v>
      </c>
      <c r="G30" t="e">
        <f t="shared" si="1"/>
        <v>#N/A</v>
      </c>
    </row>
    <row r="31" spans="1:8" x14ac:dyDescent="0.3">
      <c r="A31" t="s">
        <v>25</v>
      </c>
      <c r="B31">
        <f>IFERROR(_xlfn.XLOOKUP(A31,'Appendix A'!A:A,'Appendix A'!F:F),"")</f>
        <v>53.51</v>
      </c>
      <c r="C31" t="s">
        <v>109</v>
      </c>
      <c r="D31" t="s">
        <v>110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37</v>
      </c>
    </row>
    <row r="32" spans="1:8" x14ac:dyDescent="0.3">
      <c r="A32" t="s">
        <v>25</v>
      </c>
      <c r="B32">
        <f>IFERROR(_xlfn.XLOOKUP(A32,'Appendix A'!A:A,'Appendix A'!F:F),"")</f>
        <v>53.51</v>
      </c>
      <c r="C32" t="s">
        <v>221</v>
      </c>
      <c r="D32" t="s">
        <v>222</v>
      </c>
      <c r="E32" t="e" cm="1">
        <f t="array" ref="E32">_xll.ReadKSpice(_xlfn.CONCAT("/",$B$1,"/",$B$2,"/",D32,"@V_Unit=",F32))</f>
        <v>#N/A</v>
      </c>
      <c r="F32" t="s">
        <v>14</v>
      </c>
      <c r="G32" t="e">
        <f t="shared" si="1"/>
        <v>#N/A</v>
      </c>
      <c r="H32" t="s">
        <v>108</v>
      </c>
    </row>
    <row r="33" spans="1:8" x14ac:dyDescent="0.3">
      <c r="G33" t="s">
        <v>202</v>
      </c>
    </row>
    <row r="34" spans="1:8" x14ac:dyDescent="0.3">
      <c r="A34" s="6" t="s">
        <v>15</v>
      </c>
      <c r="C34" s="7"/>
      <c r="D34" s="7"/>
      <c r="E34" s="7"/>
      <c r="F34" s="7"/>
      <c r="G34" s="7" t="s">
        <v>202</v>
      </c>
      <c r="H34" s="7"/>
    </row>
    <row r="35" spans="1:8" x14ac:dyDescent="0.3">
      <c r="A35" t="s">
        <v>56</v>
      </c>
      <c r="B35">
        <f>IFERROR(_xlfn.XLOOKUP(A35,'Appendix A'!A:A,'Appendix A'!F:F),"")</f>
        <v>3.57</v>
      </c>
      <c r="C35" t="s">
        <v>122</v>
      </c>
      <c r="D35" t="s">
        <v>123</v>
      </c>
      <c r="E35" t="e" cm="1">
        <f t="array" ref="E35">_xll.ReadKSpice(_xlfn.CONCAT("/",$B$1,"/",$B$2,"/",D35,"@V_Unit=",F35))</f>
        <v>#N/A</v>
      </c>
      <c r="F35" t="s">
        <v>229</v>
      </c>
      <c r="G35" t="e">
        <f>100*(E35-B35)/B35</f>
        <v>#N/A</v>
      </c>
      <c r="H35" t="s">
        <v>96</v>
      </c>
    </row>
    <row r="36" spans="1:8" x14ac:dyDescent="0.3">
      <c r="A36" t="s">
        <v>124</v>
      </c>
      <c r="B36" t="str">
        <f>IFERROR(_xlfn.XLOOKUP(A36,'Appendix A'!A:A,'Appendix A'!D:D),"")</f>
        <v/>
      </c>
      <c r="C36" t="s">
        <v>128</v>
      </c>
      <c r="D36" t="s">
        <v>129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126</v>
      </c>
    </row>
    <row r="37" spans="1:8" x14ac:dyDescent="0.3">
      <c r="A37" t="s">
        <v>125</v>
      </c>
      <c r="B37" t="str">
        <f>IFERROR(_xlfn.XLOOKUP(A37,'Appendix A'!A:A,'Appendix A'!D:D),"")</f>
        <v/>
      </c>
      <c r="C37" t="s">
        <v>128</v>
      </c>
      <c r="D37" t="s">
        <v>130</v>
      </c>
      <c r="E37" t="e" cm="1">
        <f t="array" ref="E37">_xll.ReadKSpice(_xlfn.CONCAT("/",$B$1,"/",$B$2,"/",D37,"@V_Unit=",F37))</f>
        <v>#N/A</v>
      </c>
      <c r="F37" t="s">
        <v>229</v>
      </c>
      <c r="G37" t="s">
        <v>202</v>
      </c>
      <c r="H37" t="s">
        <v>127</v>
      </c>
    </row>
    <row r="38" spans="1:8" x14ac:dyDescent="0.3">
      <c r="A38" t="s">
        <v>57</v>
      </c>
      <c r="B38">
        <f>IFERROR(_xlfn.XLOOKUP(A38,'Appendix A'!A:A,'Appendix A'!F:F),"")</f>
        <v>0</v>
      </c>
      <c r="C38" t="s">
        <v>128</v>
      </c>
      <c r="E38" t="e">
        <f>E37+E36</f>
        <v>#N/A</v>
      </c>
      <c r="F38" t="s">
        <v>229</v>
      </c>
      <c r="G38" t="e">
        <f>100*(E38-B38)/B38</f>
        <v>#N/A</v>
      </c>
      <c r="H38" t="s">
        <v>230</v>
      </c>
    </row>
    <row r="39" spans="1:8" x14ac:dyDescent="0.3">
      <c r="A39" t="s">
        <v>47</v>
      </c>
      <c r="B39">
        <f>IFERROR(_xlfn.XLOOKUP(A39,'Appendix A'!A:A,'Appendix A'!F:F),"")</f>
        <v>1027.44</v>
      </c>
      <c r="C39" t="s">
        <v>131</v>
      </c>
      <c r="D39" t="s">
        <v>133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ref="G39:G50" si="2">100*(E39-B39)/B39</f>
        <v>#N/A</v>
      </c>
    </row>
    <row r="40" spans="1:8" x14ac:dyDescent="0.3">
      <c r="A40" t="s">
        <v>66</v>
      </c>
      <c r="B40">
        <f>IFERROR(_xlfn.XLOOKUP(A40,'Appendix A'!A:A,'Appendix A'!F:F),"")</f>
        <v>1032.3</v>
      </c>
      <c r="C40" t="s">
        <v>132</v>
      </c>
      <c r="D40" t="s">
        <v>134</v>
      </c>
      <c r="E40" t="e" cm="1">
        <f t="array" ref="E40">_xll.ReadKSpice(_xlfn.CONCAT("/",$B$1,"/",$B$2,"/",D40,"@V_Unit=",F40))</f>
        <v>#N/A</v>
      </c>
      <c r="F40" t="s">
        <v>218</v>
      </c>
      <c r="G40" t="e">
        <f t="shared" si="2"/>
        <v>#N/A</v>
      </c>
    </row>
    <row r="41" spans="1:8" x14ac:dyDescent="0.3">
      <c r="A41" t="s">
        <v>16</v>
      </c>
      <c r="B41">
        <f>IFERROR(_xlfn.XLOOKUP(A41,'Appendix A'!A:A,'Appendix A'!F:F),"")</f>
        <v>41.78</v>
      </c>
      <c r="C41" t="s">
        <v>233</v>
      </c>
      <c r="D41" t="s">
        <v>234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  <c r="H41" t="s">
        <v>240</v>
      </c>
    </row>
    <row r="42" spans="1:8" x14ac:dyDescent="0.3">
      <c r="A42" t="s">
        <v>73</v>
      </c>
      <c r="B42">
        <f>IFERROR(_xlfn.XLOOKUP(A42,'Appendix A'!A:A,'Appendix A'!F:F),"")</f>
        <v>44.15</v>
      </c>
      <c r="C42" t="s">
        <v>137</v>
      </c>
      <c r="D42" t="s">
        <v>146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17</v>
      </c>
      <c r="B43">
        <f>IFERROR(_xlfn.XLOOKUP(A43,'Appendix A'!A:A,'Appendix A'!F:F),"")</f>
        <v>45.3</v>
      </c>
      <c r="C43" t="s">
        <v>18</v>
      </c>
      <c r="D43" t="s">
        <v>147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19</v>
      </c>
      <c r="B44">
        <f>IFERROR(_xlfn.XLOOKUP(A44,'Appendix A'!A:A,'Appendix A'!F:F),"")</f>
        <v>47.59</v>
      </c>
      <c r="C44" t="s">
        <v>138</v>
      </c>
      <c r="D44" t="s">
        <v>148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20</v>
      </c>
      <c r="B45">
        <f>IFERROR(_xlfn.XLOOKUP(A45,'Appendix A'!A:A,'Appendix A'!F:F),"")</f>
        <v>49.28</v>
      </c>
      <c r="C45" t="s">
        <v>139</v>
      </c>
      <c r="D45" t="s">
        <v>149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21</v>
      </c>
      <c r="B46">
        <f>IFERROR(_xlfn.XLOOKUP(A46,'Appendix A'!A:A,'Appendix A'!F:F),"")</f>
        <v>51.04</v>
      </c>
      <c r="C46" t="s">
        <v>140</v>
      </c>
      <c r="D46" t="s">
        <v>150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22</v>
      </c>
      <c r="B47">
        <f>IFERROR(_xlfn.XLOOKUP(A47,'Appendix A'!A:A,'Appendix A'!F:F),"")</f>
        <v>56.19</v>
      </c>
      <c r="C47" t="s">
        <v>141</v>
      </c>
      <c r="D47" t="s">
        <v>151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23</v>
      </c>
      <c r="B48">
        <f>IFERROR(_xlfn.XLOOKUP(A48,'Appendix A'!A:A,'Appendix A'!F:F),"")</f>
        <v>58.26</v>
      </c>
      <c r="C48" t="s">
        <v>142</v>
      </c>
      <c r="D48" t="s">
        <v>152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24</v>
      </c>
      <c r="B49">
        <f>IFERROR(_xlfn.XLOOKUP(A49,'Appendix A'!A:A,'Appendix A'!F:F),"")</f>
        <v>58.25</v>
      </c>
      <c r="C49" t="s">
        <v>143</v>
      </c>
      <c r="D49" t="s">
        <v>153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83</v>
      </c>
      <c r="B50">
        <f>IFERROR(_xlfn.XLOOKUP(A50,'Appendix A'!A:A,'Appendix A'!F:F),"")</f>
        <v>52.59</v>
      </c>
      <c r="C50" t="s">
        <v>144</v>
      </c>
      <c r="D50" t="s">
        <v>154</v>
      </c>
      <c r="E50" t="e" cm="1">
        <f t="array" ref="E50">_xll.ReadKSpice(_xlfn.CONCAT("/",$B$1,"/",$B$2,"/",D50,"@V_Unit=",F50))</f>
        <v>#N/A</v>
      </c>
      <c r="F50" t="s">
        <v>14</v>
      </c>
      <c r="G50" t="e">
        <f t="shared" si="2"/>
        <v>#N/A</v>
      </c>
    </row>
    <row r="51" spans="1:8" x14ac:dyDescent="0.3">
      <c r="A51" t="s">
        <v>70</v>
      </c>
      <c r="B51">
        <f>IFERROR(_xlfn.XLOOKUP(A51,'Appendix A'!A:A,'Appendix A'!F:F),"")</f>
        <v>5.86</v>
      </c>
      <c r="F51" t="s">
        <v>217</v>
      </c>
      <c r="G51" t="s">
        <v>202</v>
      </c>
    </row>
    <row r="52" spans="1:8" x14ac:dyDescent="0.3">
      <c r="A52" t="s">
        <v>64</v>
      </c>
      <c r="B52">
        <f>IFERROR(_xlfn.XLOOKUP(A52,'Appendix A'!A:A,'Appendix A'!F:F),"")</f>
        <v>11.32</v>
      </c>
      <c r="F52" t="s">
        <v>217</v>
      </c>
      <c r="G52" t="s">
        <v>202</v>
      </c>
      <c r="H52" t="s">
        <v>103</v>
      </c>
    </row>
    <row r="53" spans="1:8" x14ac:dyDescent="0.3">
      <c r="A53" t="s">
        <v>104</v>
      </c>
      <c r="B53">
        <f>B51+B52</f>
        <v>17.18</v>
      </c>
      <c r="C53" t="s">
        <v>145</v>
      </c>
      <c r="D53" t="s">
        <v>155</v>
      </c>
      <c r="E53" t="e" cm="1">
        <f t="array" ref="E53">_xll.ReadKSpice(_xlfn.CONCAT("/",$B$1,"/",$B$2,"/",D53,"@V_Unit=",F53))</f>
        <v>#N/A</v>
      </c>
      <c r="F53" t="s">
        <v>217</v>
      </c>
      <c r="G53" t="e">
        <f>100*(E53-B53)/B53</f>
        <v>#N/A</v>
      </c>
      <c r="H53" t="s">
        <v>241</v>
      </c>
    </row>
    <row r="54" spans="1:8" x14ac:dyDescent="0.3">
      <c r="G54" t="s">
        <v>202</v>
      </c>
    </row>
    <row r="55" spans="1:8" x14ac:dyDescent="0.3">
      <c r="A55" s="6" t="s">
        <v>97</v>
      </c>
      <c r="C55" s="7"/>
      <c r="D55" s="7"/>
      <c r="E55" s="7"/>
      <c r="F55" s="7"/>
      <c r="G55" s="7" t="s">
        <v>202</v>
      </c>
      <c r="H55" s="7"/>
    </row>
    <row r="56" spans="1:8" x14ac:dyDescent="0.3">
      <c r="A56" t="s">
        <v>59</v>
      </c>
      <c r="B56">
        <f>IFERROR(_xlfn.XLOOKUP(A56,'Appendix A'!A:A,'Appendix A'!F:F),"")</f>
        <v>146.43</v>
      </c>
      <c r="C56" t="s">
        <v>156</v>
      </c>
      <c r="D56" t="s">
        <v>157</v>
      </c>
      <c r="E56" t="e" cm="1">
        <f t="array" ref="E56">_xll.ReadKSpice(_xlfn.CONCAT("/",$B$1,"/",$B$2,"/",D56,"@V_Unit=",F56))</f>
        <v>#N/A</v>
      </c>
      <c r="F56" t="s">
        <v>33</v>
      </c>
      <c r="G56" t="e">
        <f>100*(E56-B56)/B56</f>
        <v>#N/A</v>
      </c>
    </row>
    <row r="57" spans="1:8" x14ac:dyDescent="0.3">
      <c r="A57" t="s">
        <v>74</v>
      </c>
      <c r="B57">
        <f>IFERROR(_xlfn.XLOOKUP(A57,'Appendix A'!A:A,'Appendix A'!F:F),"")</f>
        <v>43.92</v>
      </c>
      <c r="F57" t="s">
        <v>14</v>
      </c>
      <c r="G57" t="s">
        <v>202</v>
      </c>
      <c r="H57" t="s">
        <v>98</v>
      </c>
    </row>
    <row r="58" spans="1:8" x14ac:dyDescent="0.3">
      <c r="A58" t="s">
        <v>75</v>
      </c>
      <c r="B58">
        <f>IFERROR(_xlfn.XLOOKUP(A58,'Appendix A'!A:A,'Appendix A'!F:F),"")</f>
        <v>47.7</v>
      </c>
      <c r="C58" t="s">
        <v>158</v>
      </c>
      <c r="D58" t="s">
        <v>159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A59" t="s">
        <v>76</v>
      </c>
      <c r="B59">
        <f>IFERROR(_xlfn.XLOOKUP(A59,'Appendix A'!A:A,'Appendix A'!F:F),"")</f>
        <v>43.07</v>
      </c>
      <c r="C59" t="s">
        <v>161</v>
      </c>
      <c r="D59" t="s">
        <v>160</v>
      </c>
      <c r="E59" t="e" cm="1">
        <f t="array" ref="E59">_xll.ReadKSpice(_xlfn.CONCAT("/",$B$1,"/",$B$2,"/",D59,"@V_Unit=",F59))</f>
        <v>#N/A</v>
      </c>
      <c r="F59" t="s">
        <v>14</v>
      </c>
      <c r="G59" t="e">
        <f>100*(E59-B59)/B59</f>
        <v>#N/A</v>
      </c>
    </row>
    <row r="60" spans="1:8" x14ac:dyDescent="0.3">
      <c r="G60" t="s">
        <v>202</v>
      </c>
    </row>
    <row r="61" spans="1:8" x14ac:dyDescent="0.3">
      <c r="A61" s="6" t="s">
        <v>26</v>
      </c>
      <c r="C61" s="7"/>
      <c r="D61" s="7"/>
      <c r="E61" s="7"/>
      <c r="F61" s="7"/>
      <c r="G61" s="7" t="s">
        <v>202</v>
      </c>
      <c r="H61" s="7"/>
    </row>
    <row r="62" spans="1:8" x14ac:dyDescent="0.3">
      <c r="A62" t="s">
        <v>84</v>
      </c>
      <c r="B62">
        <f>IFERROR(_xlfn.XLOOKUP(A62,'Appendix A'!A:A,'Appendix A'!F:F),"")</f>
        <v>120.23</v>
      </c>
      <c r="C62" t="s">
        <v>162</v>
      </c>
      <c r="D62" t="s">
        <v>169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ref="G62:G69" si="3">100*(E62-B62)/B62</f>
        <v>#N/A</v>
      </c>
    </row>
    <row r="63" spans="1:8" x14ac:dyDescent="0.3">
      <c r="A63" t="s">
        <v>85</v>
      </c>
      <c r="B63">
        <f>IFERROR(_xlfn.XLOOKUP(A63,'Appendix A'!A:A,'Appendix A'!F:F),"")</f>
        <v>112.43</v>
      </c>
      <c r="C63" t="s">
        <v>163</v>
      </c>
      <c r="D63" t="s">
        <v>170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86</v>
      </c>
      <c r="B64">
        <f>IFERROR(_xlfn.XLOOKUP(A64,'Appendix A'!A:A,'Appendix A'!F:F),"")</f>
        <v>108.18</v>
      </c>
      <c r="C64" t="s">
        <v>164</v>
      </c>
      <c r="D64" t="s">
        <v>171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87</v>
      </c>
      <c r="B65">
        <f>IFERROR(_xlfn.XLOOKUP(A65,'Appendix A'!A:A,'Appendix A'!F:F),"")</f>
        <v>106.98</v>
      </c>
      <c r="C65" t="s">
        <v>165</v>
      </c>
      <c r="D65" t="s">
        <v>172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88</v>
      </c>
      <c r="B66">
        <f>IFERROR(_xlfn.XLOOKUP(A66,'Appendix A'!A:A,'Appendix A'!F:F),"")</f>
        <v>106.98</v>
      </c>
      <c r="C66" t="s">
        <v>166</v>
      </c>
      <c r="D66" t="s">
        <v>173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79</v>
      </c>
      <c r="B67">
        <f>IFERROR(_xlfn.XLOOKUP(A67,'Appendix A'!A:A,'Appendix A'!F:F),"")</f>
        <v>107.4</v>
      </c>
      <c r="C67" t="s">
        <v>227</v>
      </c>
      <c r="D67" t="s">
        <v>228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81</v>
      </c>
      <c r="B68">
        <f>IFERROR(_xlfn.XLOOKUP(A68,'Appendix A'!A:A,'Appendix A'!F:F),"")</f>
        <v>117.59</v>
      </c>
      <c r="C68" t="s">
        <v>167</v>
      </c>
      <c r="D68" t="s">
        <v>174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A69" t="s">
        <v>82</v>
      </c>
      <c r="B69">
        <f>IFERROR(_xlfn.XLOOKUP(A69,'Appendix A'!A:A,'Appendix A'!F:F),"")</f>
        <v>105.68</v>
      </c>
      <c r="C69" t="s">
        <v>168</v>
      </c>
      <c r="D69" t="s">
        <v>175</v>
      </c>
      <c r="E69" t="e" cm="1">
        <f t="array" ref="E69">_xll.ReadKSpice(_xlfn.CONCAT("/",$B$1,"/",$B$2,"/",D69,"@V_Unit=",F69))</f>
        <v>#N/A</v>
      </c>
      <c r="F69" t="s">
        <v>14</v>
      </c>
      <c r="G69" t="e">
        <f t="shared" si="3"/>
        <v>#N/A</v>
      </c>
    </row>
    <row r="70" spans="1:8" x14ac:dyDescent="0.3">
      <c r="G70" t="s">
        <v>202</v>
      </c>
    </row>
    <row r="71" spans="1:8" x14ac:dyDescent="0.3">
      <c r="A71" s="8" t="s">
        <v>27</v>
      </c>
      <c r="C71" s="7"/>
      <c r="D71" s="7"/>
      <c r="E71" s="7"/>
      <c r="F71" s="7"/>
      <c r="G71" s="7" t="s">
        <v>202</v>
      </c>
      <c r="H71" s="7"/>
    </row>
    <row r="72" spans="1:8" x14ac:dyDescent="0.3">
      <c r="A72" t="s">
        <v>60</v>
      </c>
      <c r="B72">
        <f>IFERROR(_xlfn.XLOOKUP(A72,'Appendix A'!A:A,'Appendix A'!F:F),"")</f>
        <v>3.93</v>
      </c>
      <c r="C72" t="s">
        <v>176</v>
      </c>
      <c r="D72" t="s">
        <v>181</v>
      </c>
      <c r="E72" t="e" cm="1">
        <f t="array" ref="E72">_xll.ReadKSpice(_xlfn.CONCAT("/",$B$1,"/",$B$2,"/",D72,"@V_Unit=",F72))</f>
        <v>#N/A</v>
      </c>
      <c r="F72" t="s">
        <v>33</v>
      </c>
      <c r="G72" t="e">
        <f t="shared" ref="G72:G77" si="4">100*(E72-B72)/B72</f>
        <v>#N/A</v>
      </c>
    </row>
    <row r="73" spans="1:8" x14ac:dyDescent="0.3">
      <c r="A73" t="s">
        <v>63</v>
      </c>
      <c r="B73">
        <f>IFERROR(_xlfn.XLOOKUP(A73,'Appendix A'!A:A,'Appendix A'!F:F),"")</f>
        <v>8.2899999999999991</v>
      </c>
      <c r="C73" t="s">
        <v>177</v>
      </c>
      <c r="D73" t="s">
        <v>182</v>
      </c>
      <c r="E73" t="e" cm="1">
        <f t="array" ref="E73">_xll.ReadKSpice(_xlfn.CONCAT("/",$B$1,"/",$B$2,"/",D73,"@V_Unit=",F73))</f>
        <v>#N/A</v>
      </c>
      <c r="F73" t="s">
        <v>41</v>
      </c>
      <c r="G73" t="e">
        <f t="shared" si="4"/>
        <v>#N/A</v>
      </c>
    </row>
    <row r="74" spans="1:8" x14ac:dyDescent="0.3">
      <c r="A74" t="s">
        <v>65</v>
      </c>
      <c r="B74">
        <f>IFERROR(_xlfn.XLOOKUP(A74,'Appendix A'!A:A,'Appendix A'!F:F),"")</f>
        <v>53.67</v>
      </c>
      <c r="C74" t="s">
        <v>226</v>
      </c>
      <c r="D74" t="s">
        <v>225</v>
      </c>
      <c r="E74" t="e" cm="1">
        <f t="array" ref="E74">_xll.ReadKSpice(_xlfn.CONCAT("/",$B$1,"/",$B$2,"/",D74,"@V_Unit=",F74))</f>
        <v>#N/A</v>
      </c>
      <c r="F74" t="s">
        <v>217</v>
      </c>
      <c r="G74" t="e">
        <f t="shared" si="4"/>
        <v>#N/A</v>
      </c>
    </row>
    <row r="75" spans="1:8" x14ac:dyDescent="0.3">
      <c r="A75" t="s">
        <v>68</v>
      </c>
      <c r="B75">
        <f>IFERROR(_xlfn.XLOOKUP(A75,'Appendix A'!A:A,'Appendix A'!F:F),"")</f>
        <v>0.9</v>
      </c>
      <c r="C75" t="s">
        <v>178</v>
      </c>
      <c r="D75" t="s">
        <v>183</v>
      </c>
      <c r="E75" t="e" cm="1">
        <f t="array" ref="E75">_xll.ReadKSpice(_xlfn.CONCAT("/",$B$1,"/",$B$2,"/",D75,"@V_Unit=",F75))</f>
        <v>#N/A</v>
      </c>
      <c r="F75" t="s">
        <v>51</v>
      </c>
      <c r="G75" t="e">
        <f t="shared" si="4"/>
        <v>#N/A</v>
      </c>
    </row>
    <row r="76" spans="1:8" x14ac:dyDescent="0.3">
      <c r="A76" t="s">
        <v>80</v>
      </c>
      <c r="B76">
        <f>IFERROR(_xlfn.XLOOKUP(A76,'Appendix A'!A:A,'Appendix A'!F:F),"")</f>
        <v>18.5</v>
      </c>
      <c r="C76" t="s">
        <v>179</v>
      </c>
      <c r="D76" t="s">
        <v>184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A77" t="s">
        <v>206</v>
      </c>
      <c r="B77">
        <f>IFERROR(_xlfn.XLOOKUP(A77,'Appendix A'!A:A,'Appendix A'!F:F),"")</f>
        <v>120.61</v>
      </c>
      <c r="C77" t="s">
        <v>180</v>
      </c>
      <c r="D77" t="s">
        <v>185</v>
      </c>
      <c r="E77" t="e" cm="1">
        <f t="array" ref="E77">_xll.ReadKSpice(_xlfn.CONCAT("/",$B$1,"/",$B$2,"/",D77,"@V_Unit=",F77))</f>
        <v>#N/A</v>
      </c>
      <c r="F77" t="s">
        <v>14</v>
      </c>
      <c r="G77" t="e">
        <f t="shared" si="4"/>
        <v>#N/A</v>
      </c>
    </row>
    <row r="78" spans="1:8" x14ac:dyDescent="0.3">
      <c r="G78" t="s">
        <v>202</v>
      </c>
    </row>
    <row r="79" spans="1:8" x14ac:dyDescent="0.3">
      <c r="A79" s="6" t="s">
        <v>28</v>
      </c>
      <c r="C79" s="7"/>
      <c r="D79" s="7"/>
      <c r="E79" s="7"/>
      <c r="F79" s="7"/>
      <c r="G79" s="7" t="s">
        <v>202</v>
      </c>
      <c r="H79" s="7"/>
    </row>
    <row r="80" spans="1:8" x14ac:dyDescent="0.3">
      <c r="A80" t="s">
        <v>61</v>
      </c>
      <c r="B80">
        <f>IFERROR(_xlfn.XLOOKUP(A80,'Appendix A'!A:A,'Appendix A'!F:F),"")</f>
        <v>6.53</v>
      </c>
      <c r="C80" t="s">
        <v>186</v>
      </c>
      <c r="D80" t="s">
        <v>187</v>
      </c>
      <c r="E80" t="e" cm="1">
        <f t="array" ref="E80">_xll.ReadKSpice(_xlfn.CONCAT("/",$B$1,"/",$B$2,"/",D80,"@V_Unit=",F80))</f>
        <v>#N/A</v>
      </c>
      <c r="F80" t="s">
        <v>33</v>
      </c>
      <c r="G80" t="e">
        <f>100*(E80-B80)/B80</f>
        <v>#N/A</v>
      </c>
    </row>
    <row r="81" spans="1:8" x14ac:dyDescent="0.3">
      <c r="A81" t="s">
        <v>69</v>
      </c>
      <c r="B81">
        <f>IFERROR(_xlfn.XLOOKUP(A81,'Appendix A'!A:A,'Appendix A'!F:F),"")</f>
        <v>0.89</v>
      </c>
      <c r="C81" t="s">
        <v>223</v>
      </c>
      <c r="D81" t="s">
        <v>224</v>
      </c>
      <c r="E81" t="e" cm="1">
        <f t="array" ref="E81">_xll.ReadKSpice(_xlfn.CONCAT("/",$B$1,"/",$B$2,"/",D81,"@V_Unit=",F81))</f>
        <v>#N/A</v>
      </c>
      <c r="F81" t="s">
        <v>51</v>
      </c>
      <c r="G81" t="e">
        <f>100*(E81-B81)/B81</f>
        <v>#N/A</v>
      </c>
    </row>
    <row r="82" spans="1:8" x14ac:dyDescent="0.3">
      <c r="G82" t="s">
        <v>202</v>
      </c>
    </row>
    <row r="83" spans="1:8" x14ac:dyDescent="0.3">
      <c r="A83" s="6" t="s">
        <v>99</v>
      </c>
      <c r="B83" t="str">
        <f>IFERROR(_xlfn.XLOOKUP(A83,'Appendix A'!A:A,'Appendix A'!D:D),"")</f>
        <v/>
      </c>
      <c r="C83" s="7"/>
      <c r="D83" s="7"/>
      <c r="E83" s="7"/>
      <c r="F83" s="7"/>
      <c r="G83" s="7" t="s">
        <v>202</v>
      </c>
      <c r="H83" s="7"/>
    </row>
    <row r="84" spans="1:8" x14ac:dyDescent="0.3">
      <c r="A84" t="s">
        <v>92</v>
      </c>
      <c r="B84">
        <f>IFERROR(_xlfn.XLOOKUP(A84,'Appendix A'!A:A,'Appendix A'!F:F),"")</f>
        <v>46.17</v>
      </c>
      <c r="C84" t="s">
        <v>188</v>
      </c>
      <c r="D84" t="s">
        <v>191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</row>
    <row r="85" spans="1:8" x14ac:dyDescent="0.3">
      <c r="A85" t="s">
        <v>135</v>
      </c>
      <c r="B85" t="str">
        <f>IFERROR(_xlfn.XLOOKUP(A85,'Appendix A'!A:A,'Appendix A'!E:E),"")</f>
        <v/>
      </c>
      <c r="C85" t="s">
        <v>189</v>
      </c>
      <c r="D85" t="s">
        <v>192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  <c r="H85" t="s">
        <v>136</v>
      </c>
    </row>
    <row r="86" spans="1:8" x14ac:dyDescent="0.3">
      <c r="A86" t="s">
        <v>78</v>
      </c>
      <c r="B86">
        <f>IFERROR(_xlfn.XLOOKUP(A86,'Appendix A'!A:A,'Appendix A'!F:F),"")</f>
        <v>110.49</v>
      </c>
      <c r="C86" t="s">
        <v>190</v>
      </c>
      <c r="D86" t="s">
        <v>193</v>
      </c>
      <c r="E86" t="e" cm="1">
        <f t="array" ref="E86">_xll.ReadKSpice(_xlfn.CONCAT("/",$B$1,"/",$B$2,"/",D86,"@V_Unit=",F86))</f>
        <v>#N/A</v>
      </c>
      <c r="F86" t="s">
        <v>14</v>
      </c>
      <c r="G86" t="e">
        <f>100*(E86-B86)/B86</f>
        <v>#N/A</v>
      </c>
    </row>
    <row r="87" spans="1:8" x14ac:dyDescent="0.3">
      <c r="G87" t="s">
        <v>202</v>
      </c>
    </row>
    <row r="88" spans="1:8" x14ac:dyDescent="0.3">
      <c r="A88" s="6" t="s">
        <v>100</v>
      </c>
      <c r="C88" s="7"/>
      <c r="D88" s="7"/>
      <c r="E88" s="7"/>
      <c r="F88" s="7"/>
      <c r="G88" s="7" t="s">
        <v>202</v>
      </c>
      <c r="H88" s="7"/>
    </row>
    <row r="89" spans="1:8" x14ac:dyDescent="0.3">
      <c r="A89" t="s">
        <v>89</v>
      </c>
      <c r="B89">
        <f>IFERROR(_xlfn.XLOOKUP(A89,'Appendix A'!A:A,'Appendix A'!F:F),"")</f>
        <v>30.62</v>
      </c>
      <c r="C89" t="s">
        <v>194</v>
      </c>
      <c r="D89" t="s">
        <v>196</v>
      </c>
      <c r="E89" t="e" cm="1">
        <f t="array" ref="E89">_xll.ReadKSpice(_xlfn.CONCAT("/",$B$1,"/",$B$2,"/",D89,"@V_Unit=",F89))</f>
        <v>#N/A</v>
      </c>
      <c r="F89" t="s">
        <v>14</v>
      </c>
      <c r="G89" t="e">
        <f>100*(E89-B89)/B89</f>
        <v>#N/A</v>
      </c>
      <c r="H89" s="3"/>
    </row>
    <row r="90" spans="1:8" x14ac:dyDescent="0.3">
      <c r="G90" t="s">
        <v>202</v>
      </c>
    </row>
    <row r="91" spans="1:8" x14ac:dyDescent="0.3">
      <c r="A91" s="6" t="s">
        <v>101</v>
      </c>
      <c r="C91" s="7"/>
      <c r="D91" s="7"/>
      <c r="E91" s="7"/>
      <c r="F91" s="7"/>
      <c r="G91" s="7" t="s">
        <v>202</v>
      </c>
      <c r="H91" s="7"/>
    </row>
    <row r="92" spans="1:8" x14ac:dyDescent="0.3">
      <c r="A92" t="s">
        <v>90</v>
      </c>
      <c r="B92">
        <f>IFERROR(_xlfn.XLOOKUP(A92,'Appendix A'!A:A,'Appendix A'!F:F),"")</f>
        <v>22.57</v>
      </c>
      <c r="C92" t="s">
        <v>195</v>
      </c>
      <c r="D92" t="s">
        <v>197</v>
      </c>
      <c r="E92" t="e" cm="1">
        <f t="array" ref="E92">_xll.ReadKSpice(_xlfn.CONCAT("/",$B$1,"/",$B$2,"/",D92,"@V_Unit=",F92))</f>
        <v>#N/A</v>
      </c>
      <c r="F92" t="s">
        <v>14</v>
      </c>
      <c r="G92" t="e">
        <f>100*(E92-B92)/B92</f>
        <v>#N/A</v>
      </c>
    </row>
    <row r="93" spans="1:8" x14ac:dyDescent="0.3">
      <c r="G93" t="s">
        <v>202</v>
      </c>
    </row>
    <row r="94" spans="1:8" x14ac:dyDescent="0.3">
      <c r="A94" s="6" t="s">
        <v>102</v>
      </c>
      <c r="C94" s="7"/>
      <c r="D94" s="7"/>
      <c r="E94" s="7"/>
      <c r="F94" s="7"/>
      <c r="G94" s="7" t="s">
        <v>202</v>
      </c>
      <c r="H94" s="7"/>
    </row>
    <row r="95" spans="1:8" x14ac:dyDescent="0.3">
      <c r="A95" t="s">
        <v>62</v>
      </c>
      <c r="B95">
        <f>IFERROR(_xlfn.XLOOKUP(A95,'Appendix A'!A:A,'Appendix A'!F:F),"")</f>
        <v>271</v>
      </c>
      <c r="E95" t="e" cm="1">
        <f t="array" ref="E95">_xll.ReadKSpice(_xlfn.CONCAT("/",$B$1,"/",$B$2,"/",D95,"@V_Unit=",F95))</f>
        <v>#N/A</v>
      </c>
      <c r="F95" t="s">
        <v>33</v>
      </c>
      <c r="G95" t="e">
        <f>100*(E95-B95)/B95</f>
        <v>#N/A</v>
      </c>
    </row>
    <row r="96" spans="1:8" s="3" customFormat="1" x14ac:dyDescent="0.3">
      <c r="A96" t="s">
        <v>71</v>
      </c>
      <c r="B96">
        <f>IFERROR(_xlfn.XLOOKUP(A96,'Appendix A'!A:A,'Appendix A'!F:F),"")</f>
        <v>1.0569999999999999</v>
      </c>
      <c r="C96"/>
      <c r="D96"/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7" x14ac:dyDescent="0.3">
      <c r="A97" t="s">
        <v>72</v>
      </c>
      <c r="B97">
        <f>IFERROR(_xlfn.XLOOKUP(A97,'Appendix A'!A:A,'Appendix A'!F:F),"")</f>
        <v>1.097</v>
      </c>
      <c r="E97" t="e" cm="1">
        <f t="array" ref="E97">_xll.ReadKSpice(_xlfn.CONCAT("/",$B$1,"/",$B$2,"/",D97,"@V_Unit=",F97))</f>
        <v>#N/A</v>
      </c>
      <c r="F97" t="s">
        <v>95</v>
      </c>
      <c r="G97" t="e">
        <f>100*(E97-B97)/B97</f>
        <v>#N/A</v>
      </c>
    </row>
    <row r="98" spans="1:7" x14ac:dyDescent="0.3">
      <c r="A98" t="s">
        <v>77</v>
      </c>
      <c r="B98">
        <f>IFERROR(_xlfn.XLOOKUP(A98,'Appendix A'!A:A,'Appendix A'!F:F),"")</f>
        <v>36.119999999999997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7" x14ac:dyDescent="0.3">
      <c r="A99" t="s">
        <v>91</v>
      </c>
      <c r="B99">
        <f>IFERROR(_xlfn.XLOOKUP(A99,'Appendix A'!A:A,'Appendix A'!F:F),"")</f>
        <v>37.28</v>
      </c>
      <c r="E99" t="e" cm="1">
        <f t="array" ref="E99">_xll.ReadKSpice(_xlfn.CONCAT("/",$B$1,"/",$B$2,"/",D99,"@V_Unit=",F99))</f>
        <v>#N/A</v>
      </c>
      <c r="F99" t="s">
        <v>14</v>
      </c>
      <c r="G99" t="e">
        <f>100*(E99-B99)/B99</f>
        <v>#N/A</v>
      </c>
    </row>
    <row r="100" spans="1:7" x14ac:dyDescent="0.3">
      <c r="B100" s="9"/>
    </row>
    <row r="121" spans="1:4" x14ac:dyDescent="0.3">
      <c r="A121" s="3"/>
    </row>
    <row r="122" spans="1:4" x14ac:dyDescent="0.3">
      <c r="C122" s="10"/>
      <c r="D122" s="10"/>
    </row>
    <row r="126" spans="1:4" x14ac:dyDescent="0.3">
      <c r="A126" s="3"/>
    </row>
    <row r="132" spans="1:4" x14ac:dyDescent="0.3">
      <c r="A132" s="1"/>
      <c r="C132" s="1"/>
      <c r="D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  <row r="139" spans="1:4" x14ac:dyDescent="0.3">
      <c r="A139" s="1"/>
    </row>
  </sheetData>
  <conditionalFormatting sqref="G13:G99">
    <cfRule type="expression" dxfId="14" priority="1">
      <formula>ABS(G13)&gt;10</formula>
    </cfRule>
    <cfRule type="expression" dxfId="13" priority="2">
      <formula>AND(ABS(G13)&gt;=5,ABS(G13)&lt;10)</formula>
    </cfRule>
    <cfRule type="expression" dxfId="12" priority="3">
      <formula>ABS(G13)&lt;5</formula>
    </cfRule>
  </conditionalFormatting>
  <pageMargins left="0.7" right="0.7" top="0.75" bottom="0.75" header="0.3" footer="0.3"/>
  <headerFooter>
    <oddFooter>&amp;C_x000D_&amp;1#&amp;"Aptos"&amp;14&amp;K000000 KDI LIMITED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657-0390-46B6-BB37-2BA678C14B3B}">
  <dimension ref="A1:J139"/>
  <sheetViews>
    <sheetView zoomScale="55" zoomScaleNormal="55" workbookViewId="0">
      <selection activeCell="H99" sqref="A1:H99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5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A'!G:G),"")</f>
        <v>125.94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4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A'!G:G),"")</f>
        <v>240.87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67</v>
      </c>
      <c r="B15">
        <f>IFERROR(_xlfn.XLOOKUP(A15,'Appendix A'!A:A,'Appendix A'!G:G),"")</f>
        <v>1029</v>
      </c>
      <c r="C15" t="s">
        <v>238</v>
      </c>
      <c r="D15" t="s">
        <v>235</v>
      </c>
      <c r="E15" t="e" cm="1">
        <f t="array" ref="E15">_xll.ReadKSpice(_xlfn.CONCAT("/",$B$1,"/",$B$2,"/",D15,"@V_Unit=",F15))</f>
        <v>#N/A</v>
      </c>
      <c r="F15" t="s">
        <v>218</v>
      </c>
      <c r="G15" t="e">
        <f t="shared" si="0"/>
        <v>#N/A</v>
      </c>
      <c r="H15" t="s">
        <v>239</v>
      </c>
    </row>
    <row r="16" spans="1:10" x14ac:dyDescent="0.3">
      <c r="A16" t="s">
        <v>25</v>
      </c>
      <c r="B16">
        <f>IFERROR(_xlfn.XLOOKUP(A16,'Appendix A'!A:A,'Appendix A'!G:G),"")</f>
        <v>52.17</v>
      </c>
      <c r="C16" t="s">
        <v>107</v>
      </c>
      <c r="D16" t="s">
        <v>113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37</v>
      </c>
    </row>
    <row r="17" spans="1:8" x14ac:dyDescent="0.3">
      <c r="A17" t="s">
        <v>25</v>
      </c>
      <c r="B17">
        <f>IFERROR(_xlfn.XLOOKUP(A17,'Appendix A'!A:A,'Appendix A'!G:G),"")</f>
        <v>52.17</v>
      </c>
      <c r="C17" t="s">
        <v>38</v>
      </c>
      <c r="D17" t="s">
        <v>220</v>
      </c>
      <c r="E17" t="e" cm="1">
        <f t="array" ref="E17">_xll.ReadKSpice(_xlfn.CONCAT("/",$B$1,"/",$B$2,"/",D17,"@V_Unit=",F17))</f>
        <v>#N/A</v>
      </c>
      <c r="F17" t="s">
        <v>14</v>
      </c>
      <c r="G17" t="e">
        <f t="shared" si="0"/>
        <v>#N/A</v>
      </c>
      <c r="H17" t="s">
        <v>108</v>
      </c>
    </row>
    <row r="18" spans="1:8" x14ac:dyDescent="0.3">
      <c r="A18" t="s">
        <v>63</v>
      </c>
      <c r="B18">
        <f>IFERROR(_xlfn.XLOOKUP(A18,'Appendix A'!A:A,'Appendix A'!G:G),"")</f>
        <v>10.35</v>
      </c>
      <c r="C18" t="s">
        <v>40</v>
      </c>
      <c r="D18" t="s">
        <v>219</v>
      </c>
      <c r="E18" t="e" cm="1">
        <f t="array" ref="E18">_xll.ReadKSpice(_xlfn.CONCAT("/",$B$1,"/",$B$2,"/",D18,"@V_Unit=",F18))</f>
        <v>#N/A</v>
      </c>
      <c r="F18" t="s">
        <v>41</v>
      </c>
      <c r="G18" t="e">
        <f t="shared" si="0"/>
        <v>#N/A</v>
      </c>
      <c r="H18" t="s">
        <v>39</v>
      </c>
    </row>
    <row r="19" spans="1:8" x14ac:dyDescent="0.3">
      <c r="A19" t="s">
        <v>16</v>
      </c>
      <c r="B19">
        <f>IFERROR(_xlfn.XLOOKUP(A19,'Appendix A'!A:A,'Appendix A'!G:G),"")</f>
        <v>44.38</v>
      </c>
      <c r="C19" t="s">
        <v>231</v>
      </c>
      <c r="D19" t="s">
        <v>232</v>
      </c>
      <c r="E19" t="e" cm="1">
        <f t="array" ref="E19">_xll.ReadKSpice(_xlfn.CONCAT("/",$B$1,"/",$B$2,"/",D19,"@V_Unit=",F19))</f>
        <v>#N/A</v>
      </c>
      <c r="F19" t="s">
        <v>14</v>
      </c>
      <c r="G19" t="e">
        <f t="shared" si="0"/>
        <v>#N/A</v>
      </c>
      <c r="H19" t="s">
        <v>42</v>
      </c>
    </row>
    <row r="20" spans="1:8" x14ac:dyDescent="0.3">
      <c r="B20">
        <v>0.27</v>
      </c>
      <c r="C20" t="s">
        <v>105</v>
      </c>
      <c r="D20" t="s">
        <v>114</v>
      </c>
      <c r="E20" t="e" cm="1">
        <f t="array" ref="E20">_xll.ReadKSpice(_xlfn.CONCAT("/",$B$1,"/",$B$2,"/",D20,"@V_Unit=",F20))</f>
        <v>#N/A</v>
      </c>
      <c r="F20" t="s">
        <v>43</v>
      </c>
      <c r="G20" t="e">
        <f t="shared" si="0"/>
        <v>#N/A</v>
      </c>
      <c r="H20" t="s">
        <v>44</v>
      </c>
    </row>
    <row r="21" spans="1:8" x14ac:dyDescent="0.3">
      <c r="A21" t="s">
        <v>47</v>
      </c>
      <c r="B21">
        <f>IFERROR(_xlfn.XLOOKUP(A21,'Appendix A'!A:A,'Appendix A'!G:G),"")</f>
        <v>1012.1</v>
      </c>
      <c r="C21" t="s">
        <v>46</v>
      </c>
      <c r="D21" t="s">
        <v>115</v>
      </c>
      <c r="E21" t="e" cm="1">
        <f t="array" ref="E21">_xll.ReadKSpice(_xlfn.CONCAT("/",$B$1,"/",$B$2,"/",D21,"@V_Unit=",F21))</f>
        <v>#N/A</v>
      </c>
      <c r="F21" t="s">
        <v>218</v>
      </c>
      <c r="G21" t="e">
        <f t="shared" si="0"/>
        <v>#N/A</v>
      </c>
      <c r="H21" t="s">
        <v>45</v>
      </c>
    </row>
    <row r="22" spans="1:8" x14ac:dyDescent="0.3">
      <c r="A22" t="s">
        <v>68</v>
      </c>
      <c r="B22">
        <f>IFERROR(_xlfn.XLOOKUP(A22,'Appendix A'!A:A,'Appendix A'!G:G),"")</f>
        <v>0.9</v>
      </c>
      <c r="C22" t="s">
        <v>49</v>
      </c>
      <c r="D22" t="s">
        <v>116</v>
      </c>
      <c r="E22" t="e" cm="1">
        <f t="array" ref="E22">_xll.ReadKSpice(_xlfn.CONCAT("/",$B$1,"/",$B$2,"/",D22,"@V_Unit=",F22))</f>
        <v>#N/A</v>
      </c>
      <c r="F22" t="s">
        <v>51</v>
      </c>
      <c r="G22" t="e">
        <f t="shared" si="0"/>
        <v>#N/A</v>
      </c>
      <c r="H22" t="s">
        <v>48</v>
      </c>
    </row>
    <row r="23" spans="1:8" x14ac:dyDescent="0.3">
      <c r="A23" t="s">
        <v>89</v>
      </c>
      <c r="B23">
        <f>IFERROR(_xlfn.XLOOKUP(A23,'Appendix A'!A:A,'Appendix A'!G:G),"")</f>
        <v>30.62</v>
      </c>
      <c r="C23" t="s">
        <v>53</v>
      </c>
      <c r="D23" t="s">
        <v>117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52</v>
      </c>
    </row>
    <row r="24" spans="1:8" x14ac:dyDescent="0.3">
      <c r="A24" t="s">
        <v>90</v>
      </c>
      <c r="B24">
        <f>IFERROR(_xlfn.XLOOKUP(A24,'Appendix A'!A:A,'Appendix A'!G:G),"")</f>
        <v>25.99</v>
      </c>
      <c r="C24" t="s">
        <v>55</v>
      </c>
      <c r="D24" t="s">
        <v>118</v>
      </c>
      <c r="E24" t="e" cm="1">
        <f t="array" ref="E24">_xll.ReadKSpice(_xlfn.CONCAT("/",$B$1,"/",$B$2,"/",D24,"@V_Unit=",F24))</f>
        <v>#N/A</v>
      </c>
      <c r="F24" t="s">
        <v>14</v>
      </c>
      <c r="G24" t="e">
        <f t="shared" si="0"/>
        <v>#N/A</v>
      </c>
      <c r="H24" t="s">
        <v>54</v>
      </c>
    </row>
    <row r="25" spans="1:8" x14ac:dyDescent="0.3">
      <c r="G25" t="s">
        <v>202</v>
      </c>
    </row>
    <row r="26" spans="1:8" x14ac:dyDescent="0.3">
      <c r="A26" s="6" t="s">
        <v>10</v>
      </c>
      <c r="C26" s="7"/>
      <c r="D26" s="7"/>
      <c r="E26" s="7"/>
      <c r="F26" s="7"/>
      <c r="G26" s="7" t="s">
        <v>202</v>
      </c>
      <c r="H26" s="7"/>
    </row>
    <row r="27" spans="1:8" x14ac:dyDescent="0.3">
      <c r="A27" t="s">
        <v>11</v>
      </c>
      <c r="B27">
        <f>IFERROR(_xlfn.XLOOKUP(A27,'Appendix A'!A:A,'Appendix A'!G:G),"")</f>
        <v>125.94</v>
      </c>
      <c r="C27" t="s">
        <v>12</v>
      </c>
      <c r="D27" t="s">
        <v>119</v>
      </c>
      <c r="E27" t="e" cm="1">
        <f t="array" ref="E27">_xll.ReadKSpice(_xlfn.CONCAT("/",$B$1,"/",$B$2,"/",D27,"@V_Unit=",F27))</f>
        <v>#N/A</v>
      </c>
      <c r="F27" t="s">
        <v>31</v>
      </c>
      <c r="G27" t="e">
        <f t="shared" ref="G27:G32" si="1">100*(E27-B27)/B27</f>
        <v>#N/A</v>
      </c>
    </row>
    <row r="28" spans="1:8" x14ac:dyDescent="0.3">
      <c r="A28" t="s">
        <v>67</v>
      </c>
      <c r="B28">
        <f>IFERROR(_xlfn.XLOOKUP(A28,'Appendix A'!A:A,'Appendix A'!G:G),"")</f>
        <v>1029</v>
      </c>
      <c r="C28" t="s">
        <v>236</v>
      </c>
      <c r="D28" t="s">
        <v>237</v>
      </c>
      <c r="E28" t="e" cm="1">
        <f t="array" ref="E28">_xll.ReadKSpice(_xlfn.CONCAT("/",$B$1,"/",$B$2,"/",D28,"@V_Unit=",F28))</f>
        <v>#N/A</v>
      </c>
      <c r="F28" t="s">
        <v>218</v>
      </c>
      <c r="G28" t="e">
        <f t="shared" si="1"/>
        <v>#N/A</v>
      </c>
    </row>
    <row r="29" spans="1:8" x14ac:dyDescent="0.3">
      <c r="A29" t="s">
        <v>13</v>
      </c>
      <c r="B29">
        <f>IFERROR(_xlfn.XLOOKUP(A29,'Appendix A'!A:A,'Appendix A'!G:G),"")</f>
        <v>47.16</v>
      </c>
      <c r="C29" t="s">
        <v>233</v>
      </c>
      <c r="D29" t="s">
        <v>234</v>
      </c>
      <c r="E29" t="e" cm="1">
        <f t="array" ref="E29">_xll.ReadKSpice(_xlfn.CONCAT("/",$B$1,"/",$B$2,"/",D29,"@V_Unit=",F29))</f>
        <v>#N/A</v>
      </c>
      <c r="F29" t="s">
        <v>14</v>
      </c>
      <c r="G29" t="e">
        <f t="shared" si="1"/>
        <v>#N/A</v>
      </c>
    </row>
    <row r="30" spans="1:8" x14ac:dyDescent="0.3">
      <c r="A30" t="s">
        <v>58</v>
      </c>
      <c r="B30">
        <f>IFERROR(_xlfn.XLOOKUP(A30,'Appendix A'!A:A,'Appendix A'!G:G),"")</f>
        <v>240.87</v>
      </c>
      <c r="C30" t="s">
        <v>120</v>
      </c>
      <c r="D30" t="s">
        <v>121</v>
      </c>
      <c r="E30" t="e" cm="1">
        <f t="array" ref="E30">_xll.ReadKSpice(_xlfn.CONCAT("/",$B$1,"/",$B$2,"/",D30,"@V_Unit=",F30))</f>
        <v>#N/A</v>
      </c>
      <c r="F30" t="s">
        <v>33</v>
      </c>
      <c r="G30" t="e">
        <f t="shared" si="1"/>
        <v>#N/A</v>
      </c>
    </row>
    <row r="31" spans="1:8" x14ac:dyDescent="0.3">
      <c r="A31" t="s">
        <v>25</v>
      </c>
      <c r="B31">
        <f>IFERROR(_xlfn.XLOOKUP(A31,'Appendix A'!A:A,'Appendix A'!G:G),"")</f>
        <v>52.17</v>
      </c>
      <c r="C31" t="s">
        <v>109</v>
      </c>
      <c r="D31" t="s">
        <v>110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37</v>
      </c>
    </row>
    <row r="32" spans="1:8" x14ac:dyDescent="0.3">
      <c r="A32" t="s">
        <v>25</v>
      </c>
      <c r="B32">
        <f>IFERROR(_xlfn.XLOOKUP(A32,'Appendix A'!A:A,'Appendix A'!G:G),"")</f>
        <v>52.17</v>
      </c>
      <c r="C32" t="s">
        <v>221</v>
      </c>
      <c r="D32" t="s">
        <v>222</v>
      </c>
      <c r="E32" t="e" cm="1">
        <f t="array" ref="E32">_xll.ReadKSpice(_xlfn.CONCAT("/",$B$1,"/",$B$2,"/",D32,"@V_Unit=",F32))</f>
        <v>#N/A</v>
      </c>
      <c r="F32" t="s">
        <v>14</v>
      </c>
      <c r="G32" t="e">
        <f t="shared" si="1"/>
        <v>#N/A</v>
      </c>
      <c r="H32" t="s">
        <v>108</v>
      </c>
    </row>
    <row r="33" spans="1:8" x14ac:dyDescent="0.3">
      <c r="G33" t="s">
        <v>202</v>
      </c>
    </row>
    <row r="34" spans="1:8" x14ac:dyDescent="0.3">
      <c r="A34" s="6" t="s">
        <v>15</v>
      </c>
      <c r="C34" s="7"/>
      <c r="D34" s="7"/>
      <c r="E34" s="7"/>
      <c r="F34" s="7"/>
      <c r="G34" s="7" t="s">
        <v>202</v>
      </c>
      <c r="H34" s="7"/>
    </row>
    <row r="35" spans="1:8" x14ac:dyDescent="0.3">
      <c r="A35" t="s">
        <v>56</v>
      </c>
      <c r="B35">
        <f>IFERROR(_xlfn.XLOOKUP(A35,'Appendix A'!A:A,'Appendix A'!G:G),"")</f>
        <v>3.9</v>
      </c>
      <c r="C35" t="s">
        <v>122</v>
      </c>
      <c r="D35" t="s">
        <v>123</v>
      </c>
      <c r="E35" t="e" cm="1">
        <f t="array" ref="E35">_xll.ReadKSpice(_xlfn.CONCAT("/",$B$1,"/",$B$2,"/",D35,"@V_Unit=",F35))</f>
        <v>#N/A</v>
      </c>
      <c r="F35" t="s">
        <v>229</v>
      </c>
      <c r="G35" t="e">
        <f>100*(E35-B35)/B35</f>
        <v>#N/A</v>
      </c>
      <c r="H35" t="s">
        <v>96</v>
      </c>
    </row>
    <row r="36" spans="1:8" x14ac:dyDescent="0.3">
      <c r="A36" t="s">
        <v>124</v>
      </c>
      <c r="B36" t="str">
        <f>IFERROR(_xlfn.XLOOKUP(A36,'Appendix A'!A:A,'Appendix A'!D:D),"")</f>
        <v/>
      </c>
      <c r="C36" t="s">
        <v>128</v>
      </c>
      <c r="D36" t="s">
        <v>129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126</v>
      </c>
    </row>
    <row r="37" spans="1:8" x14ac:dyDescent="0.3">
      <c r="A37" t="s">
        <v>125</v>
      </c>
      <c r="B37" t="str">
        <f>IFERROR(_xlfn.XLOOKUP(A37,'Appendix A'!A:A,'Appendix A'!D:D),"")</f>
        <v/>
      </c>
      <c r="C37" t="s">
        <v>128</v>
      </c>
      <c r="D37" t="s">
        <v>130</v>
      </c>
      <c r="E37" t="e" cm="1">
        <f t="array" ref="E37">_xll.ReadKSpice(_xlfn.CONCAT("/",$B$1,"/",$B$2,"/",D37,"@V_Unit=",F37))</f>
        <v>#N/A</v>
      </c>
      <c r="F37" t="s">
        <v>229</v>
      </c>
      <c r="G37" t="s">
        <v>202</v>
      </c>
      <c r="H37" t="s">
        <v>127</v>
      </c>
    </row>
    <row r="38" spans="1:8" x14ac:dyDescent="0.3">
      <c r="A38" t="s">
        <v>57</v>
      </c>
      <c r="B38">
        <f>IFERROR(_xlfn.XLOOKUP(A38,'Appendix A'!A:A,'Appendix A'!G:G),"")</f>
        <v>0.44</v>
      </c>
      <c r="C38" t="s">
        <v>128</v>
      </c>
      <c r="E38" t="e">
        <f>E37+E36</f>
        <v>#N/A</v>
      </c>
      <c r="F38" t="s">
        <v>229</v>
      </c>
      <c r="G38" t="e">
        <f>100*(E38-B38)/B38</f>
        <v>#N/A</v>
      </c>
      <c r="H38" t="s">
        <v>230</v>
      </c>
    </row>
    <row r="39" spans="1:8" x14ac:dyDescent="0.3">
      <c r="A39" t="s">
        <v>47</v>
      </c>
      <c r="B39">
        <f>IFERROR(_xlfn.XLOOKUP(A39,'Appendix A'!A:A,'Appendix A'!G:G),"")</f>
        <v>1012.1</v>
      </c>
      <c r="C39" t="s">
        <v>131</v>
      </c>
      <c r="D39" t="s">
        <v>133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ref="G39:G50" si="2">100*(E39-B39)/B39</f>
        <v>#N/A</v>
      </c>
    </row>
    <row r="40" spans="1:8" x14ac:dyDescent="0.3">
      <c r="A40" t="s">
        <v>66</v>
      </c>
      <c r="B40">
        <f>IFERROR(_xlfn.XLOOKUP(A40,'Appendix A'!A:A,'Appendix A'!G:G),"")</f>
        <v>1020.73</v>
      </c>
      <c r="C40" t="s">
        <v>132</v>
      </c>
      <c r="D40" t="s">
        <v>134</v>
      </c>
      <c r="E40" t="e" cm="1">
        <f t="array" ref="E40">_xll.ReadKSpice(_xlfn.CONCAT("/",$B$1,"/",$B$2,"/",D40,"@V_Unit=",F40))</f>
        <v>#N/A</v>
      </c>
      <c r="F40" t="s">
        <v>218</v>
      </c>
      <c r="G40" t="e">
        <f t="shared" si="2"/>
        <v>#N/A</v>
      </c>
    </row>
    <row r="41" spans="1:8" x14ac:dyDescent="0.3">
      <c r="A41" t="s">
        <v>16</v>
      </c>
      <c r="B41">
        <f>IFERROR(_xlfn.XLOOKUP(A41,'Appendix A'!A:A,'Appendix A'!G:G),"")</f>
        <v>44.38</v>
      </c>
      <c r="C41" t="s">
        <v>233</v>
      </c>
      <c r="D41" t="s">
        <v>234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  <c r="H41" t="s">
        <v>240</v>
      </c>
    </row>
    <row r="42" spans="1:8" x14ac:dyDescent="0.3">
      <c r="A42" t="s">
        <v>73</v>
      </c>
      <c r="B42">
        <f>IFERROR(_xlfn.XLOOKUP(A42,'Appendix A'!A:A,'Appendix A'!G:G),"")</f>
        <v>45.55</v>
      </c>
      <c r="C42" t="s">
        <v>137</v>
      </c>
      <c r="D42" t="s">
        <v>146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17</v>
      </c>
      <c r="B43">
        <f>IFERROR(_xlfn.XLOOKUP(A43,'Appendix A'!A:A,'Appendix A'!G:G),"")</f>
        <v>47.05</v>
      </c>
      <c r="C43" t="s">
        <v>18</v>
      </c>
      <c r="D43" t="s">
        <v>147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19</v>
      </c>
      <c r="B44">
        <f>IFERROR(_xlfn.XLOOKUP(A44,'Appendix A'!A:A,'Appendix A'!G:G),"")</f>
        <v>50.02</v>
      </c>
      <c r="C44" t="s">
        <v>138</v>
      </c>
      <c r="D44" t="s">
        <v>148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20</v>
      </c>
      <c r="B45">
        <f>IFERROR(_xlfn.XLOOKUP(A45,'Appendix A'!A:A,'Appendix A'!G:G),"")</f>
        <v>51.8</v>
      </c>
      <c r="C45" t="s">
        <v>139</v>
      </c>
      <c r="D45" t="s">
        <v>149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21</v>
      </c>
      <c r="B46">
        <f>IFERROR(_xlfn.XLOOKUP(A46,'Appendix A'!A:A,'Appendix A'!G:G),"")</f>
        <v>53.27</v>
      </c>
      <c r="C46" t="s">
        <v>140</v>
      </c>
      <c r="D46" t="s">
        <v>150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22</v>
      </c>
      <c r="B47">
        <f>IFERROR(_xlfn.XLOOKUP(A47,'Appendix A'!A:A,'Appendix A'!G:G),"")</f>
        <v>57.25</v>
      </c>
      <c r="C47" t="s">
        <v>141</v>
      </c>
      <c r="D47" t="s">
        <v>151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23</v>
      </c>
      <c r="B48">
        <f>IFERROR(_xlfn.XLOOKUP(A48,'Appendix A'!A:A,'Appendix A'!G:G),"")</f>
        <v>58.54</v>
      </c>
      <c r="C48" t="s">
        <v>142</v>
      </c>
      <c r="D48" t="s">
        <v>152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24</v>
      </c>
      <c r="B49">
        <f>IFERROR(_xlfn.XLOOKUP(A49,'Appendix A'!A:A,'Appendix A'!G:G),"")</f>
        <v>58.36</v>
      </c>
      <c r="C49" t="s">
        <v>143</v>
      </c>
      <c r="D49" t="s">
        <v>153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83</v>
      </c>
      <c r="B50">
        <f>IFERROR(_xlfn.XLOOKUP(A50,'Appendix A'!A:A,'Appendix A'!G:G),"")</f>
        <v>50.35</v>
      </c>
      <c r="C50" t="s">
        <v>144</v>
      </c>
      <c r="D50" t="s">
        <v>154</v>
      </c>
      <c r="E50" t="e" cm="1">
        <f t="array" ref="E50">_xll.ReadKSpice(_xlfn.CONCAT("/",$B$1,"/",$B$2,"/",D50,"@V_Unit=",F50))</f>
        <v>#N/A</v>
      </c>
      <c r="F50" t="s">
        <v>14</v>
      </c>
      <c r="G50" t="e">
        <f t="shared" si="2"/>
        <v>#N/A</v>
      </c>
    </row>
    <row r="51" spans="1:8" x14ac:dyDescent="0.3">
      <c r="A51" t="s">
        <v>70</v>
      </c>
      <c r="B51">
        <f>IFERROR(_xlfn.XLOOKUP(A51,'Appendix A'!A:A,'Appendix A'!G:G),"")</f>
        <v>6.6</v>
      </c>
      <c r="F51" t="s">
        <v>217</v>
      </c>
      <c r="G51" t="s">
        <v>202</v>
      </c>
    </row>
    <row r="52" spans="1:8" x14ac:dyDescent="0.3">
      <c r="A52" t="s">
        <v>64</v>
      </c>
      <c r="B52">
        <f>IFERROR(_xlfn.XLOOKUP(A52,'Appendix A'!A:A,'Appendix A'!G:G),"")</f>
        <v>11.67</v>
      </c>
      <c r="F52" t="s">
        <v>217</v>
      </c>
      <c r="G52" t="s">
        <v>202</v>
      </c>
      <c r="H52" t="s">
        <v>103</v>
      </c>
    </row>
    <row r="53" spans="1:8" x14ac:dyDescent="0.3">
      <c r="A53" t="s">
        <v>104</v>
      </c>
      <c r="B53">
        <f>B51+B52</f>
        <v>18.27</v>
      </c>
      <c r="C53" t="s">
        <v>145</v>
      </c>
      <c r="D53" t="s">
        <v>155</v>
      </c>
      <c r="E53" t="e" cm="1">
        <f t="array" ref="E53">_xll.ReadKSpice(_xlfn.CONCAT("/",$B$1,"/",$B$2,"/",D53,"@V_Unit=",F53))</f>
        <v>#N/A</v>
      </c>
      <c r="F53" t="s">
        <v>217</v>
      </c>
      <c r="G53" t="e">
        <f>100*(E53-B53)/B53</f>
        <v>#N/A</v>
      </c>
      <c r="H53" t="s">
        <v>241</v>
      </c>
    </row>
    <row r="54" spans="1:8" x14ac:dyDescent="0.3">
      <c r="G54" t="s">
        <v>202</v>
      </c>
    </row>
    <row r="55" spans="1:8" x14ac:dyDescent="0.3">
      <c r="A55" s="6" t="s">
        <v>97</v>
      </c>
      <c r="C55" s="7"/>
      <c r="D55" s="7"/>
      <c r="E55" s="7"/>
      <c r="F55" s="7"/>
      <c r="G55" s="7" t="s">
        <v>202</v>
      </c>
      <c r="H55" s="7"/>
    </row>
    <row r="56" spans="1:8" x14ac:dyDescent="0.3">
      <c r="A56" t="s">
        <v>59</v>
      </c>
      <c r="B56">
        <f>IFERROR(_xlfn.XLOOKUP(A56,'Appendix A'!A:A,'Appendix A'!G:G),"")</f>
        <v>246.13</v>
      </c>
      <c r="C56" t="s">
        <v>156</v>
      </c>
      <c r="D56" t="s">
        <v>157</v>
      </c>
      <c r="E56" t="e" cm="1">
        <f t="array" ref="E56">_xll.ReadKSpice(_xlfn.CONCAT("/",$B$1,"/",$B$2,"/",D56,"@V_Unit=",F56))</f>
        <v>#N/A</v>
      </c>
      <c r="F56" t="s">
        <v>33</v>
      </c>
      <c r="G56" t="e">
        <f>100*(E56-B56)/B56</f>
        <v>#N/A</v>
      </c>
    </row>
    <row r="57" spans="1:8" x14ac:dyDescent="0.3">
      <c r="A57" t="s">
        <v>74</v>
      </c>
      <c r="B57">
        <f>IFERROR(_xlfn.XLOOKUP(A57,'Appendix A'!A:A,'Appendix A'!G:G),"")</f>
        <v>45.45</v>
      </c>
      <c r="F57" t="s">
        <v>14</v>
      </c>
      <c r="G57" t="s">
        <v>202</v>
      </c>
      <c r="H57" t="s">
        <v>98</v>
      </c>
    </row>
    <row r="58" spans="1:8" x14ac:dyDescent="0.3">
      <c r="A58" t="s">
        <v>75</v>
      </c>
      <c r="B58">
        <f>IFERROR(_xlfn.XLOOKUP(A58,'Appendix A'!A:A,'Appendix A'!G:G),"")</f>
        <v>45.92</v>
      </c>
      <c r="C58" t="s">
        <v>158</v>
      </c>
      <c r="D58" t="s">
        <v>159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A59" t="s">
        <v>76</v>
      </c>
      <c r="B59">
        <f>IFERROR(_xlfn.XLOOKUP(A59,'Appendix A'!A:A,'Appendix A'!G:G),"")</f>
        <v>44.87</v>
      </c>
      <c r="C59" t="s">
        <v>161</v>
      </c>
      <c r="D59" t="s">
        <v>160</v>
      </c>
      <c r="E59" t="e" cm="1">
        <f t="array" ref="E59">_xll.ReadKSpice(_xlfn.CONCAT("/",$B$1,"/",$B$2,"/",D59,"@V_Unit=",F59))</f>
        <v>#N/A</v>
      </c>
      <c r="F59" t="s">
        <v>14</v>
      </c>
      <c r="G59" t="e">
        <f>100*(E59-B59)/B59</f>
        <v>#N/A</v>
      </c>
    </row>
    <row r="60" spans="1:8" x14ac:dyDescent="0.3">
      <c r="G60" t="s">
        <v>202</v>
      </c>
    </row>
    <row r="61" spans="1:8" x14ac:dyDescent="0.3">
      <c r="A61" s="6" t="s">
        <v>26</v>
      </c>
      <c r="C61" s="7"/>
      <c r="D61" s="7"/>
      <c r="E61" s="7"/>
      <c r="F61" s="7"/>
      <c r="G61" s="7" t="s">
        <v>202</v>
      </c>
      <c r="H61" s="7"/>
    </row>
    <row r="62" spans="1:8" x14ac:dyDescent="0.3">
      <c r="A62" t="s">
        <v>84</v>
      </c>
      <c r="B62">
        <f>IFERROR(_xlfn.XLOOKUP(A62,'Appendix A'!A:A,'Appendix A'!G:G),"")</f>
        <v>118.29</v>
      </c>
      <c r="C62" t="s">
        <v>162</v>
      </c>
      <c r="D62" t="s">
        <v>169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ref="G62:G69" si="3">100*(E62-B62)/B62</f>
        <v>#N/A</v>
      </c>
    </row>
    <row r="63" spans="1:8" x14ac:dyDescent="0.3">
      <c r="A63" t="s">
        <v>85</v>
      </c>
      <c r="B63">
        <f>IFERROR(_xlfn.XLOOKUP(A63,'Appendix A'!A:A,'Appendix A'!G:G),"")</f>
        <v>111.21</v>
      </c>
      <c r="C63" t="s">
        <v>163</v>
      </c>
      <c r="D63" t="s">
        <v>170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86</v>
      </c>
      <c r="B64">
        <f>IFERROR(_xlfn.XLOOKUP(A64,'Appendix A'!A:A,'Appendix A'!G:G),"")</f>
        <v>109.76</v>
      </c>
      <c r="C64" t="s">
        <v>164</v>
      </c>
      <c r="D64" t="s">
        <v>171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87</v>
      </c>
      <c r="B65">
        <f>IFERROR(_xlfn.XLOOKUP(A65,'Appendix A'!A:A,'Appendix A'!G:G),"")</f>
        <v>109.46</v>
      </c>
      <c r="C65" t="s">
        <v>165</v>
      </c>
      <c r="D65" t="s">
        <v>172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88</v>
      </c>
      <c r="B66">
        <f>IFERROR(_xlfn.XLOOKUP(A66,'Appendix A'!A:A,'Appendix A'!G:G),"")</f>
        <v>109.2</v>
      </c>
      <c r="C66" t="s">
        <v>166</v>
      </c>
      <c r="D66" t="s">
        <v>173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79</v>
      </c>
      <c r="B67">
        <f>IFERROR(_xlfn.XLOOKUP(A67,'Appendix A'!A:A,'Appendix A'!G:G),"")</f>
        <v>110.1</v>
      </c>
      <c r="C67" t="s">
        <v>227</v>
      </c>
      <c r="D67" t="s">
        <v>228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81</v>
      </c>
      <c r="B68">
        <f>IFERROR(_xlfn.XLOOKUP(A68,'Appendix A'!A:A,'Appendix A'!G:G),"")</f>
        <v>114.97</v>
      </c>
      <c r="C68" t="s">
        <v>167</v>
      </c>
      <c r="D68" t="s">
        <v>174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A69" t="s">
        <v>82</v>
      </c>
      <c r="B69">
        <f>IFERROR(_xlfn.XLOOKUP(A69,'Appendix A'!A:A,'Appendix A'!G:G),"")</f>
        <v>108.39</v>
      </c>
      <c r="C69" t="s">
        <v>168</v>
      </c>
      <c r="D69" t="s">
        <v>175</v>
      </c>
      <c r="E69" t="e" cm="1">
        <f t="array" ref="E69">_xll.ReadKSpice(_xlfn.CONCAT("/",$B$1,"/",$B$2,"/",D69,"@V_Unit=",F69))</f>
        <v>#N/A</v>
      </c>
      <c r="F69" t="s">
        <v>14</v>
      </c>
      <c r="G69" t="e">
        <f t="shared" si="3"/>
        <v>#N/A</v>
      </c>
    </row>
    <row r="70" spans="1:8" x14ac:dyDescent="0.3">
      <c r="G70" t="s">
        <v>202</v>
      </c>
    </row>
    <row r="71" spans="1:8" x14ac:dyDescent="0.3">
      <c r="A71" s="8" t="s">
        <v>27</v>
      </c>
      <c r="C71" s="7"/>
      <c r="D71" s="7"/>
      <c r="E71" s="7"/>
      <c r="F71" s="7"/>
      <c r="G71" s="7" t="s">
        <v>202</v>
      </c>
      <c r="H71" s="7"/>
    </row>
    <row r="72" spans="1:8" x14ac:dyDescent="0.3">
      <c r="A72" t="s">
        <v>60</v>
      </c>
      <c r="B72">
        <f>IFERROR(_xlfn.XLOOKUP(A72,'Appendix A'!A:A,'Appendix A'!G:G),"")</f>
        <v>5.56</v>
      </c>
      <c r="C72" t="s">
        <v>176</v>
      </c>
      <c r="D72" t="s">
        <v>181</v>
      </c>
      <c r="E72" t="e" cm="1">
        <f t="array" ref="E72">_xll.ReadKSpice(_xlfn.CONCAT("/",$B$1,"/",$B$2,"/",D72,"@V_Unit=",F72))</f>
        <v>#N/A</v>
      </c>
      <c r="F72" t="s">
        <v>33</v>
      </c>
      <c r="G72" t="e">
        <f t="shared" ref="G72:G77" si="4">100*(E72-B72)/B72</f>
        <v>#N/A</v>
      </c>
    </row>
    <row r="73" spans="1:8" x14ac:dyDescent="0.3">
      <c r="A73" t="s">
        <v>63</v>
      </c>
      <c r="B73">
        <f>IFERROR(_xlfn.XLOOKUP(A73,'Appendix A'!A:A,'Appendix A'!G:G),"")</f>
        <v>10.35</v>
      </c>
      <c r="C73" t="s">
        <v>177</v>
      </c>
      <c r="D73" t="s">
        <v>182</v>
      </c>
      <c r="E73" t="e" cm="1">
        <f t="array" ref="E73">_xll.ReadKSpice(_xlfn.CONCAT("/",$B$1,"/",$B$2,"/",D73,"@V_Unit=",F73))</f>
        <v>#N/A</v>
      </c>
      <c r="F73" t="s">
        <v>41</v>
      </c>
      <c r="G73" t="e">
        <f t="shared" si="4"/>
        <v>#N/A</v>
      </c>
    </row>
    <row r="74" spans="1:8" x14ac:dyDescent="0.3">
      <c r="A74" t="s">
        <v>65</v>
      </c>
      <c r="B74">
        <f>IFERROR(_xlfn.XLOOKUP(A74,'Appendix A'!A:A,'Appendix A'!G:G),"")</f>
        <v>53.67</v>
      </c>
      <c r="C74" t="s">
        <v>226</v>
      </c>
      <c r="D74" t="s">
        <v>225</v>
      </c>
      <c r="E74" t="e" cm="1">
        <f t="array" ref="E74">_xll.ReadKSpice(_xlfn.CONCAT("/",$B$1,"/",$B$2,"/",D74,"@V_Unit=",F74))</f>
        <v>#N/A</v>
      </c>
      <c r="F74" t="s">
        <v>217</v>
      </c>
      <c r="G74" t="e">
        <f t="shared" si="4"/>
        <v>#N/A</v>
      </c>
    </row>
    <row r="75" spans="1:8" x14ac:dyDescent="0.3">
      <c r="A75" t="s">
        <v>68</v>
      </c>
      <c r="B75">
        <f>IFERROR(_xlfn.XLOOKUP(A75,'Appendix A'!A:A,'Appendix A'!G:G),"")</f>
        <v>0.9</v>
      </c>
      <c r="C75" t="s">
        <v>178</v>
      </c>
      <c r="D75" t="s">
        <v>183</v>
      </c>
      <c r="E75" t="e" cm="1">
        <f t="array" ref="E75">_xll.ReadKSpice(_xlfn.CONCAT("/",$B$1,"/",$B$2,"/",D75,"@V_Unit=",F75))</f>
        <v>#N/A</v>
      </c>
      <c r="F75" t="s">
        <v>51</v>
      </c>
      <c r="G75" t="e">
        <f t="shared" si="4"/>
        <v>#N/A</v>
      </c>
    </row>
    <row r="76" spans="1:8" x14ac:dyDescent="0.3">
      <c r="A76" t="s">
        <v>80</v>
      </c>
      <c r="B76">
        <f>IFERROR(_xlfn.XLOOKUP(A76,'Appendix A'!A:A,'Appendix A'!G:G),"")</f>
        <v>22</v>
      </c>
      <c r="C76" t="s">
        <v>179</v>
      </c>
      <c r="D76" t="s">
        <v>184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A77" t="s">
        <v>206</v>
      </c>
      <c r="B77">
        <f>IFERROR(_xlfn.XLOOKUP(A77,'Appendix A'!A:A,'Appendix A'!G:G),"")</f>
        <v>118.85</v>
      </c>
      <c r="C77" t="s">
        <v>180</v>
      </c>
      <c r="D77" t="s">
        <v>185</v>
      </c>
      <c r="E77" t="e" cm="1">
        <f t="array" ref="E77">_xll.ReadKSpice(_xlfn.CONCAT("/",$B$1,"/",$B$2,"/",D77,"@V_Unit=",F77))</f>
        <v>#N/A</v>
      </c>
      <c r="F77" t="s">
        <v>14</v>
      </c>
      <c r="G77" t="e">
        <f t="shared" si="4"/>
        <v>#N/A</v>
      </c>
    </row>
    <row r="78" spans="1:8" x14ac:dyDescent="0.3">
      <c r="G78" t="s">
        <v>202</v>
      </c>
    </row>
    <row r="79" spans="1:8" x14ac:dyDescent="0.3">
      <c r="A79" s="6" t="s">
        <v>28</v>
      </c>
      <c r="C79" s="7"/>
      <c r="D79" s="7"/>
      <c r="E79" s="7"/>
      <c r="F79" s="7"/>
      <c r="G79" s="7" t="s">
        <v>202</v>
      </c>
      <c r="H79" s="7"/>
    </row>
    <row r="80" spans="1:8" x14ac:dyDescent="0.3">
      <c r="A80" t="s">
        <v>61</v>
      </c>
      <c r="B80">
        <f>IFERROR(_xlfn.XLOOKUP(A80,'Appendix A'!A:A,'Appendix A'!G:G),"")</f>
        <v>7.21</v>
      </c>
      <c r="C80" t="s">
        <v>186</v>
      </c>
      <c r="D80" t="s">
        <v>187</v>
      </c>
      <c r="E80" t="e" cm="1">
        <f t="array" ref="E80">_xll.ReadKSpice(_xlfn.CONCAT("/",$B$1,"/",$B$2,"/",D80,"@V_Unit=",F80))</f>
        <v>#N/A</v>
      </c>
      <c r="F80" t="s">
        <v>33</v>
      </c>
      <c r="G80" t="e">
        <f>100*(E80-B80)/B80</f>
        <v>#N/A</v>
      </c>
    </row>
    <row r="81" spans="1:8" x14ac:dyDescent="0.3">
      <c r="A81" t="s">
        <v>69</v>
      </c>
      <c r="B81">
        <f>IFERROR(_xlfn.XLOOKUP(A81,'Appendix A'!A:A,'Appendix A'!G:G),"")</f>
        <v>0.88</v>
      </c>
      <c r="C81" t="s">
        <v>223</v>
      </c>
      <c r="D81" t="s">
        <v>224</v>
      </c>
      <c r="E81" t="e" cm="1">
        <f t="array" ref="E81">_xll.ReadKSpice(_xlfn.CONCAT("/",$B$1,"/",$B$2,"/",D81,"@V_Unit=",F81))</f>
        <v>#N/A</v>
      </c>
      <c r="F81" t="s">
        <v>51</v>
      </c>
      <c r="G81" t="e">
        <f>100*(E81-B81)/B81</f>
        <v>#N/A</v>
      </c>
    </row>
    <row r="82" spans="1:8" x14ac:dyDescent="0.3">
      <c r="G82" t="s">
        <v>202</v>
      </c>
    </row>
    <row r="83" spans="1:8" x14ac:dyDescent="0.3">
      <c r="A83" s="6" t="s">
        <v>99</v>
      </c>
      <c r="B83" t="str">
        <f>IFERROR(_xlfn.XLOOKUP(A83,'Appendix A'!A:A,'Appendix A'!D:D),"")</f>
        <v/>
      </c>
      <c r="C83" s="7"/>
      <c r="D83" s="7"/>
      <c r="E83" s="7"/>
      <c r="F83" s="7"/>
      <c r="G83" s="7" t="s">
        <v>202</v>
      </c>
      <c r="H83" s="7"/>
    </row>
    <row r="84" spans="1:8" x14ac:dyDescent="0.3">
      <c r="A84" t="s">
        <v>92</v>
      </c>
      <c r="B84">
        <f>IFERROR(_xlfn.XLOOKUP(A84,'Appendix A'!A:A,'Appendix A'!G:G),"")</f>
        <v>47.98</v>
      </c>
      <c r="C84" t="s">
        <v>188</v>
      </c>
      <c r="D84" t="s">
        <v>191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</row>
    <row r="85" spans="1:8" x14ac:dyDescent="0.3">
      <c r="A85" t="s">
        <v>135</v>
      </c>
      <c r="B85" t="str">
        <f>IFERROR(_xlfn.XLOOKUP(A85,'Appendix A'!A:A,'Appendix A'!G:G),"")</f>
        <v/>
      </c>
      <c r="C85" t="s">
        <v>189</v>
      </c>
      <c r="D85" t="s">
        <v>192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  <c r="H85" t="s">
        <v>136</v>
      </c>
    </row>
    <row r="86" spans="1:8" x14ac:dyDescent="0.3">
      <c r="A86" t="s">
        <v>78</v>
      </c>
      <c r="B86">
        <f>IFERROR(_xlfn.XLOOKUP(A86,'Appendix A'!A:A,'Appendix A'!G:G),"")</f>
        <v>112.31</v>
      </c>
      <c r="C86" t="s">
        <v>190</v>
      </c>
      <c r="D86" t="s">
        <v>193</v>
      </c>
      <c r="E86" t="e" cm="1">
        <f t="array" ref="E86">_xll.ReadKSpice(_xlfn.CONCAT("/",$B$1,"/",$B$2,"/",D86,"@V_Unit=",F86))</f>
        <v>#N/A</v>
      </c>
      <c r="F86" t="s">
        <v>14</v>
      </c>
      <c r="G86" t="e">
        <f>100*(E86-B86)/B86</f>
        <v>#N/A</v>
      </c>
    </row>
    <row r="87" spans="1:8" x14ac:dyDescent="0.3">
      <c r="G87" t="s">
        <v>202</v>
      </c>
    </row>
    <row r="88" spans="1:8" x14ac:dyDescent="0.3">
      <c r="A88" s="6" t="s">
        <v>100</v>
      </c>
      <c r="C88" s="7"/>
      <c r="D88" s="7"/>
      <c r="E88" s="7"/>
      <c r="F88" s="7"/>
      <c r="G88" s="7" t="s">
        <v>202</v>
      </c>
      <c r="H88" s="7"/>
    </row>
    <row r="89" spans="1:8" x14ac:dyDescent="0.3">
      <c r="A89" t="s">
        <v>89</v>
      </c>
      <c r="B89">
        <f>IFERROR(_xlfn.XLOOKUP(A89,'Appendix A'!A:A,'Appendix A'!G:G),"")</f>
        <v>30.62</v>
      </c>
      <c r="C89" t="s">
        <v>194</v>
      </c>
      <c r="D89" t="s">
        <v>196</v>
      </c>
      <c r="E89" t="e" cm="1">
        <f t="array" ref="E89">_xll.ReadKSpice(_xlfn.CONCAT("/",$B$1,"/",$B$2,"/",D89,"@V_Unit=",F89))</f>
        <v>#N/A</v>
      </c>
      <c r="F89" t="s">
        <v>14</v>
      </c>
      <c r="G89" t="e">
        <f>100*(E89-B89)/B89</f>
        <v>#N/A</v>
      </c>
      <c r="H89" s="3"/>
    </row>
    <row r="90" spans="1:8" x14ac:dyDescent="0.3">
      <c r="G90" t="s">
        <v>202</v>
      </c>
    </row>
    <row r="91" spans="1:8" x14ac:dyDescent="0.3">
      <c r="A91" s="6" t="s">
        <v>101</v>
      </c>
      <c r="C91" s="7"/>
      <c r="D91" s="7"/>
      <c r="E91" s="7"/>
      <c r="F91" s="7"/>
      <c r="G91" s="7" t="s">
        <v>202</v>
      </c>
      <c r="H91" s="7"/>
    </row>
    <row r="92" spans="1:8" x14ac:dyDescent="0.3">
      <c r="A92" t="s">
        <v>90</v>
      </c>
      <c r="B92">
        <f>IFERROR(_xlfn.XLOOKUP(A92,'Appendix A'!A:A,'Appendix A'!G:G),"")</f>
        <v>25.99</v>
      </c>
      <c r="C92" t="s">
        <v>195</v>
      </c>
      <c r="D92" t="s">
        <v>197</v>
      </c>
      <c r="E92" t="e" cm="1">
        <f t="array" ref="E92">_xll.ReadKSpice(_xlfn.CONCAT("/",$B$1,"/",$B$2,"/",D92,"@V_Unit=",F92))</f>
        <v>#N/A</v>
      </c>
      <c r="F92" t="s">
        <v>14</v>
      </c>
      <c r="G92" t="e">
        <f>100*(E92-B92)/B92</f>
        <v>#N/A</v>
      </c>
    </row>
    <row r="93" spans="1:8" x14ac:dyDescent="0.3">
      <c r="G93" t="s">
        <v>202</v>
      </c>
    </row>
    <row r="94" spans="1:8" x14ac:dyDescent="0.3">
      <c r="A94" s="6" t="s">
        <v>102</v>
      </c>
      <c r="C94" s="7"/>
      <c r="D94" s="7"/>
      <c r="E94" s="7"/>
      <c r="F94" s="7"/>
      <c r="G94" s="7" t="s">
        <v>202</v>
      </c>
      <c r="H94" s="7"/>
    </row>
    <row r="95" spans="1:8" x14ac:dyDescent="0.3">
      <c r="A95" t="s">
        <v>62</v>
      </c>
      <c r="B95">
        <f>IFERROR(_xlfn.XLOOKUP(A95,'Appendix A'!A:A,'Appendix A'!G:G),"")</f>
        <v>264.18</v>
      </c>
      <c r="E95" t="e" cm="1">
        <f t="array" ref="E95">_xll.ReadKSpice(_xlfn.CONCAT("/",$B$1,"/",$B$2,"/",D95,"@V_Unit=",F95))</f>
        <v>#N/A</v>
      </c>
      <c r="F95" t="s">
        <v>33</v>
      </c>
      <c r="G95" t="e">
        <f>100*(E95-B95)/B95</f>
        <v>#N/A</v>
      </c>
    </row>
    <row r="96" spans="1:8" s="3" customFormat="1" x14ac:dyDescent="0.3">
      <c r="A96" t="s">
        <v>71</v>
      </c>
      <c r="B96">
        <f>IFERROR(_xlfn.XLOOKUP(A96,'Appendix A'!A:A,'Appendix A'!G:G),"")</f>
        <v>1.069</v>
      </c>
      <c r="C96"/>
      <c r="D96"/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7" x14ac:dyDescent="0.3">
      <c r="A97" t="s">
        <v>72</v>
      </c>
      <c r="B97">
        <f>IFERROR(_xlfn.XLOOKUP(A97,'Appendix A'!A:A,'Appendix A'!G:G),"")</f>
        <v>1.0920000000000001</v>
      </c>
      <c r="E97" t="e" cm="1">
        <f t="array" ref="E97">_xll.ReadKSpice(_xlfn.CONCAT("/",$B$1,"/",$B$2,"/",D97,"@V_Unit=",F97))</f>
        <v>#N/A</v>
      </c>
      <c r="F97" t="s">
        <v>95</v>
      </c>
      <c r="G97" t="e">
        <f>100*(E97-B97)/B97</f>
        <v>#N/A</v>
      </c>
    </row>
    <row r="98" spans="1:7" x14ac:dyDescent="0.3">
      <c r="A98" t="s">
        <v>77</v>
      </c>
      <c r="B98">
        <f>IFERROR(_xlfn.XLOOKUP(A98,'Appendix A'!A:A,'Appendix A'!G:G),"")</f>
        <v>38.44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7" x14ac:dyDescent="0.3">
      <c r="A99" t="s">
        <v>91</v>
      </c>
      <c r="B99">
        <f>IFERROR(_xlfn.XLOOKUP(A99,'Appendix A'!A:A,'Appendix A'!G:G),"")</f>
        <v>39.07</v>
      </c>
      <c r="E99" t="e" cm="1">
        <f t="array" ref="E99">_xll.ReadKSpice(_xlfn.CONCAT("/",$B$1,"/",$B$2,"/",D99,"@V_Unit=",F99))</f>
        <v>#N/A</v>
      </c>
      <c r="F99" t="s">
        <v>14</v>
      </c>
      <c r="G99" t="e">
        <f>100*(E99-B99)/B99</f>
        <v>#N/A</v>
      </c>
    </row>
    <row r="100" spans="1:7" x14ac:dyDescent="0.3">
      <c r="B100" s="9"/>
    </row>
    <row r="121" spans="1:4" x14ac:dyDescent="0.3">
      <c r="A121" s="3"/>
    </row>
    <row r="122" spans="1:4" x14ac:dyDescent="0.3">
      <c r="C122" s="10"/>
      <c r="D122" s="10"/>
    </row>
    <row r="126" spans="1:4" x14ac:dyDescent="0.3">
      <c r="A126" s="3"/>
    </row>
    <row r="132" spans="1:4" x14ac:dyDescent="0.3">
      <c r="A132" s="1"/>
      <c r="C132" s="1"/>
      <c r="D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  <row r="139" spans="1:4" x14ac:dyDescent="0.3">
      <c r="A139" s="1"/>
    </row>
  </sheetData>
  <conditionalFormatting sqref="G13:G99">
    <cfRule type="expression" dxfId="11" priority="1">
      <formula>ABS(G13)&gt;10</formula>
    </cfRule>
    <cfRule type="expression" dxfId="10" priority="2">
      <formula>AND(ABS(G13)&gt;=5,ABS(G13)&lt;10)</formula>
    </cfRule>
    <cfRule type="expression" dxfId="9" priority="3">
      <formula>ABS(G13)&lt;5</formula>
    </cfRule>
  </conditionalFormatting>
  <pageMargins left="0.7" right="0.7" top="0.75" bottom="0.75" header="0.3" footer="0.3"/>
  <headerFooter>
    <oddFooter>&amp;C_x000D_&amp;1#&amp;"Aptos"&amp;14&amp;K000000 KDI LIMITED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7674-798C-4588-9C6D-3ECA70E6F425}">
  <dimension ref="A1:J139"/>
  <sheetViews>
    <sheetView topLeftCell="A27" zoomScale="70" zoomScaleNormal="70" workbookViewId="0">
      <selection activeCell="E114" sqref="E114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6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A'!H:H),"")</f>
        <v>118.96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4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A'!H:H),"")</f>
        <v>178.72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67</v>
      </c>
      <c r="B15">
        <f>IFERROR(_xlfn.XLOOKUP(A15,'Appendix A'!A:A,'Appendix A'!H:H),"")</f>
        <v>1042.6600000000001</v>
      </c>
      <c r="C15" t="s">
        <v>238</v>
      </c>
      <c r="D15" t="s">
        <v>235</v>
      </c>
      <c r="E15" t="e" cm="1">
        <f t="array" ref="E15">_xll.ReadKSpice(_xlfn.CONCAT("/",$B$1,"/",$B$2,"/",D15,"@V_Unit=",F15))</f>
        <v>#N/A</v>
      </c>
      <c r="F15" t="s">
        <v>218</v>
      </c>
      <c r="G15" t="e">
        <f t="shared" si="0"/>
        <v>#N/A</v>
      </c>
      <c r="H15" t="s">
        <v>239</v>
      </c>
    </row>
    <row r="16" spans="1:10" x14ac:dyDescent="0.3">
      <c r="A16" t="s">
        <v>25</v>
      </c>
      <c r="B16">
        <f>IFERROR(_xlfn.XLOOKUP(A16,'Appendix A'!A:A,'Appendix A'!H:H),"")</f>
        <v>46.94</v>
      </c>
      <c r="C16" t="s">
        <v>107</v>
      </c>
      <c r="D16" t="s">
        <v>113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37</v>
      </c>
    </row>
    <row r="17" spans="1:8" x14ac:dyDescent="0.3">
      <c r="A17" t="s">
        <v>25</v>
      </c>
      <c r="B17">
        <f>IFERROR(_xlfn.XLOOKUP(A17,'Appendix A'!A:A,'Appendix A'!H:H),"")</f>
        <v>46.94</v>
      </c>
      <c r="C17" t="s">
        <v>38</v>
      </c>
      <c r="D17" t="s">
        <v>220</v>
      </c>
      <c r="E17" t="e" cm="1">
        <f t="array" ref="E17">_xll.ReadKSpice(_xlfn.CONCAT("/",$B$1,"/",$B$2,"/",D17,"@V_Unit=",F17))</f>
        <v>#N/A</v>
      </c>
      <c r="F17" t="s">
        <v>14</v>
      </c>
      <c r="G17" t="e">
        <f t="shared" si="0"/>
        <v>#N/A</v>
      </c>
      <c r="H17" t="s">
        <v>108</v>
      </c>
    </row>
    <row r="18" spans="1:8" x14ac:dyDescent="0.3">
      <c r="A18" t="s">
        <v>63</v>
      </c>
      <c r="B18">
        <f>IFERROR(_xlfn.XLOOKUP(A18,'Appendix A'!A:A,'Appendix A'!H:H),"")</f>
        <v>6.13</v>
      </c>
      <c r="C18" t="s">
        <v>40</v>
      </c>
      <c r="D18" t="s">
        <v>219</v>
      </c>
      <c r="E18" t="e" cm="1">
        <f t="array" ref="E18">_xll.ReadKSpice(_xlfn.CONCAT("/",$B$1,"/",$B$2,"/",D18,"@V_Unit=",F18))</f>
        <v>#N/A</v>
      </c>
      <c r="F18" t="s">
        <v>41</v>
      </c>
      <c r="G18" t="e">
        <f t="shared" si="0"/>
        <v>#N/A</v>
      </c>
      <c r="H18" t="s">
        <v>39</v>
      </c>
    </row>
    <row r="19" spans="1:8" x14ac:dyDescent="0.3">
      <c r="A19" t="s">
        <v>16</v>
      </c>
      <c r="B19">
        <f>IFERROR(_xlfn.XLOOKUP(A19,'Appendix A'!A:A,'Appendix A'!H:H),"")</f>
        <v>38.93</v>
      </c>
      <c r="C19" t="s">
        <v>231</v>
      </c>
      <c r="D19" t="s">
        <v>232</v>
      </c>
      <c r="E19" t="e" cm="1">
        <f t="array" ref="E19">_xll.ReadKSpice(_xlfn.CONCAT("/",$B$1,"/",$B$2,"/",D19,"@V_Unit=",F19))</f>
        <v>#N/A</v>
      </c>
      <c r="F19" t="s">
        <v>14</v>
      </c>
      <c r="G19" t="e">
        <f t="shared" si="0"/>
        <v>#N/A</v>
      </c>
      <c r="H19" t="s">
        <v>42</v>
      </c>
    </row>
    <row r="20" spans="1:8" x14ac:dyDescent="0.3">
      <c r="B20">
        <v>0.34</v>
      </c>
      <c r="C20" t="s">
        <v>105</v>
      </c>
      <c r="D20" t="s">
        <v>114</v>
      </c>
      <c r="E20" t="e" cm="1">
        <f t="array" ref="E20">_xll.ReadKSpice(_xlfn.CONCAT("/",$B$1,"/",$B$2,"/",D20,"@V_Unit=",F20))</f>
        <v>#N/A</v>
      </c>
      <c r="F20" t="s">
        <v>43</v>
      </c>
      <c r="G20" t="e">
        <f t="shared" si="0"/>
        <v>#N/A</v>
      </c>
      <c r="H20" t="s">
        <v>44</v>
      </c>
    </row>
    <row r="21" spans="1:8" x14ac:dyDescent="0.3">
      <c r="A21" t="s">
        <v>47</v>
      </c>
      <c r="B21">
        <f>IFERROR(_xlfn.XLOOKUP(A21,'Appendix A'!A:A,'Appendix A'!H:H),"")</f>
        <v>1030.53</v>
      </c>
      <c r="C21" t="s">
        <v>46</v>
      </c>
      <c r="D21" t="s">
        <v>115</v>
      </c>
      <c r="E21" t="e" cm="1">
        <f t="array" ref="E21">_xll.ReadKSpice(_xlfn.CONCAT("/",$B$1,"/",$B$2,"/",D21,"@V_Unit=",F21))</f>
        <v>#N/A</v>
      </c>
      <c r="F21" t="s">
        <v>218</v>
      </c>
      <c r="G21" t="e">
        <f t="shared" si="0"/>
        <v>#N/A</v>
      </c>
      <c r="H21" t="s">
        <v>45</v>
      </c>
    </row>
    <row r="22" spans="1:8" x14ac:dyDescent="0.3">
      <c r="A22" t="s">
        <v>68</v>
      </c>
      <c r="B22">
        <f>IFERROR(_xlfn.XLOOKUP(A22,'Appendix A'!A:A,'Appendix A'!H:H),"")</f>
        <v>0.7</v>
      </c>
      <c r="C22" t="s">
        <v>49</v>
      </c>
      <c r="D22" t="s">
        <v>116</v>
      </c>
      <c r="E22" t="e" cm="1">
        <f t="array" ref="E22">_xll.ReadKSpice(_xlfn.CONCAT("/",$B$1,"/",$B$2,"/",D22,"@V_Unit=",F22))</f>
        <v>#N/A</v>
      </c>
      <c r="F22" t="s">
        <v>51</v>
      </c>
      <c r="G22" t="e">
        <f t="shared" si="0"/>
        <v>#N/A</v>
      </c>
      <c r="H22" t="s">
        <v>48</v>
      </c>
    </row>
    <row r="23" spans="1:8" x14ac:dyDescent="0.3">
      <c r="A23" t="s">
        <v>89</v>
      </c>
      <c r="B23">
        <f>IFERROR(_xlfn.XLOOKUP(A23,'Appendix A'!A:A,'Appendix A'!H:H),"")</f>
        <v>30.63</v>
      </c>
      <c r="C23" t="s">
        <v>53</v>
      </c>
      <c r="D23" t="s">
        <v>117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52</v>
      </c>
    </row>
    <row r="24" spans="1:8" x14ac:dyDescent="0.3">
      <c r="A24" t="s">
        <v>90</v>
      </c>
      <c r="B24">
        <f>IFERROR(_xlfn.XLOOKUP(A24,'Appendix A'!A:A,'Appendix A'!H:H),"")</f>
        <v>16.98</v>
      </c>
      <c r="C24" t="s">
        <v>55</v>
      </c>
      <c r="D24" t="s">
        <v>118</v>
      </c>
      <c r="E24" t="e" cm="1">
        <f t="array" ref="E24">_xll.ReadKSpice(_xlfn.CONCAT("/",$B$1,"/",$B$2,"/",D24,"@V_Unit=",F24))</f>
        <v>#N/A</v>
      </c>
      <c r="F24" t="s">
        <v>14</v>
      </c>
      <c r="G24" t="e">
        <f t="shared" si="0"/>
        <v>#N/A</v>
      </c>
      <c r="H24" t="s">
        <v>54</v>
      </c>
    </row>
    <row r="25" spans="1:8" x14ac:dyDescent="0.3">
      <c r="G25" t="s">
        <v>202</v>
      </c>
    </row>
    <row r="26" spans="1:8" x14ac:dyDescent="0.3">
      <c r="A26" s="6" t="s">
        <v>10</v>
      </c>
      <c r="C26" s="7"/>
      <c r="D26" s="7"/>
      <c r="E26" s="7"/>
      <c r="F26" s="7"/>
      <c r="G26" s="7" t="s">
        <v>202</v>
      </c>
      <c r="H26" s="7"/>
    </row>
    <row r="27" spans="1:8" x14ac:dyDescent="0.3">
      <c r="A27" t="s">
        <v>11</v>
      </c>
      <c r="B27">
        <f>IFERROR(_xlfn.XLOOKUP(A27,'Appendix A'!A:A,'Appendix A'!H:H),"")</f>
        <v>118.96</v>
      </c>
      <c r="C27" t="s">
        <v>12</v>
      </c>
      <c r="D27" t="s">
        <v>119</v>
      </c>
      <c r="E27" t="e" cm="1">
        <f t="array" ref="E27">_xll.ReadKSpice(_xlfn.CONCAT("/",$B$1,"/",$B$2,"/",D27,"@V_Unit=",F27))</f>
        <v>#N/A</v>
      </c>
      <c r="F27" t="s">
        <v>31</v>
      </c>
      <c r="G27" t="e">
        <f t="shared" ref="G27:G32" si="1">100*(E27-B27)/B27</f>
        <v>#N/A</v>
      </c>
    </row>
    <row r="28" spans="1:8" x14ac:dyDescent="0.3">
      <c r="A28" t="s">
        <v>67</v>
      </c>
      <c r="B28">
        <f>IFERROR(_xlfn.XLOOKUP(A28,'Appendix A'!A:A,'Appendix A'!H:H),"")</f>
        <v>1042.6600000000001</v>
      </c>
      <c r="C28" t="s">
        <v>236</v>
      </c>
      <c r="D28" t="s">
        <v>237</v>
      </c>
      <c r="E28" t="e" cm="1">
        <f t="array" ref="E28">_xll.ReadKSpice(_xlfn.CONCAT("/",$B$1,"/",$B$2,"/",D28,"@V_Unit=",F28))</f>
        <v>#N/A</v>
      </c>
      <c r="F28" t="s">
        <v>218</v>
      </c>
      <c r="G28" t="e">
        <f t="shared" si="1"/>
        <v>#N/A</v>
      </c>
    </row>
    <row r="29" spans="1:8" x14ac:dyDescent="0.3">
      <c r="A29" t="s">
        <v>13</v>
      </c>
      <c r="B29">
        <f>IFERROR(_xlfn.XLOOKUP(A29,'Appendix A'!A:A,'Appendix A'!H:H),"")</f>
        <v>40.71</v>
      </c>
      <c r="C29" t="s">
        <v>233</v>
      </c>
      <c r="D29" t="s">
        <v>234</v>
      </c>
      <c r="E29" t="e" cm="1">
        <f t="array" ref="E29">_xll.ReadKSpice(_xlfn.CONCAT("/",$B$1,"/",$B$2,"/",D29,"@V_Unit=",F29))</f>
        <v>#N/A</v>
      </c>
      <c r="F29" t="s">
        <v>14</v>
      </c>
      <c r="G29" t="e">
        <f t="shared" si="1"/>
        <v>#N/A</v>
      </c>
    </row>
    <row r="30" spans="1:8" x14ac:dyDescent="0.3">
      <c r="A30" t="s">
        <v>58</v>
      </c>
      <c r="B30">
        <f>IFERROR(_xlfn.XLOOKUP(A30,'Appendix A'!A:A,'Appendix A'!H:H),"")</f>
        <v>178.72</v>
      </c>
      <c r="C30" t="s">
        <v>120</v>
      </c>
      <c r="D30" t="s">
        <v>121</v>
      </c>
      <c r="E30" t="e" cm="1">
        <f t="array" ref="E30">_xll.ReadKSpice(_xlfn.CONCAT("/",$B$1,"/",$B$2,"/",D30,"@V_Unit=",F30))</f>
        <v>#N/A</v>
      </c>
      <c r="F30" t="s">
        <v>33</v>
      </c>
      <c r="G30" t="e">
        <f t="shared" si="1"/>
        <v>#N/A</v>
      </c>
    </row>
    <row r="31" spans="1:8" x14ac:dyDescent="0.3">
      <c r="A31" t="s">
        <v>25</v>
      </c>
      <c r="B31">
        <f>IFERROR(_xlfn.XLOOKUP(A31,'Appendix A'!A:A,'Appendix A'!H:H),"")</f>
        <v>46.94</v>
      </c>
      <c r="C31" t="s">
        <v>109</v>
      </c>
      <c r="D31" t="s">
        <v>110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37</v>
      </c>
    </row>
    <row r="32" spans="1:8" x14ac:dyDescent="0.3">
      <c r="A32" t="s">
        <v>25</v>
      </c>
      <c r="B32">
        <f>IFERROR(_xlfn.XLOOKUP(A32,'Appendix A'!A:A,'Appendix A'!H:H),"")</f>
        <v>46.94</v>
      </c>
      <c r="C32" t="s">
        <v>221</v>
      </c>
      <c r="D32" t="s">
        <v>222</v>
      </c>
      <c r="E32" t="e" cm="1">
        <f t="array" ref="E32">_xll.ReadKSpice(_xlfn.CONCAT("/",$B$1,"/",$B$2,"/",D32,"@V_Unit=",F32))</f>
        <v>#N/A</v>
      </c>
      <c r="F32" t="s">
        <v>14</v>
      </c>
      <c r="G32" t="e">
        <f t="shared" si="1"/>
        <v>#N/A</v>
      </c>
      <c r="H32" t="s">
        <v>108</v>
      </c>
    </row>
    <row r="33" spans="1:8" x14ac:dyDescent="0.3">
      <c r="G33" t="s">
        <v>202</v>
      </c>
    </row>
    <row r="34" spans="1:8" x14ac:dyDescent="0.3">
      <c r="A34" s="6" t="s">
        <v>15</v>
      </c>
      <c r="C34" s="7"/>
      <c r="D34" s="7"/>
      <c r="E34" s="7"/>
      <c r="F34" s="7"/>
      <c r="G34" s="7" t="s">
        <v>202</v>
      </c>
      <c r="H34" s="7"/>
    </row>
    <row r="35" spans="1:8" x14ac:dyDescent="0.3">
      <c r="A35" t="s">
        <v>56</v>
      </c>
      <c r="B35">
        <f>IFERROR(_xlfn.XLOOKUP(A35,'Appendix A'!A:A,'Appendix A'!H:H),"")</f>
        <v>5.41</v>
      </c>
      <c r="C35" t="s">
        <v>122</v>
      </c>
      <c r="D35" t="s">
        <v>123</v>
      </c>
      <c r="E35" t="e" cm="1">
        <f t="array" ref="E35">_xll.ReadKSpice(_xlfn.CONCAT("/",$B$1,"/",$B$2,"/",D35,"@V_Unit=",F35))</f>
        <v>#N/A</v>
      </c>
      <c r="F35" t="s">
        <v>229</v>
      </c>
      <c r="G35" t="e">
        <f>100*(E35-B35)/B35</f>
        <v>#N/A</v>
      </c>
      <c r="H35" t="s">
        <v>96</v>
      </c>
    </row>
    <row r="36" spans="1:8" x14ac:dyDescent="0.3">
      <c r="A36" t="s">
        <v>124</v>
      </c>
      <c r="B36" t="str">
        <f>IFERROR(_xlfn.XLOOKUP(A36,'Appendix A'!A:A,'Appendix A'!D:D),"")</f>
        <v/>
      </c>
      <c r="C36" t="s">
        <v>128</v>
      </c>
      <c r="D36" t="s">
        <v>129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126</v>
      </c>
    </row>
    <row r="37" spans="1:8" x14ac:dyDescent="0.3">
      <c r="A37" t="s">
        <v>125</v>
      </c>
      <c r="B37" t="str">
        <f>IFERROR(_xlfn.XLOOKUP(A37,'Appendix A'!A:A,'Appendix A'!D:D),"")</f>
        <v/>
      </c>
      <c r="C37" t="s">
        <v>128</v>
      </c>
      <c r="D37" t="s">
        <v>130</v>
      </c>
      <c r="E37" t="e" cm="1">
        <f t="array" ref="E37">_xll.ReadKSpice(_xlfn.CONCAT("/",$B$1,"/",$B$2,"/",D37,"@V_Unit=",F37))</f>
        <v>#N/A</v>
      </c>
      <c r="F37" t="s">
        <v>229</v>
      </c>
      <c r="G37" t="s">
        <v>202</v>
      </c>
      <c r="H37" t="s">
        <v>127</v>
      </c>
    </row>
    <row r="38" spans="1:8" x14ac:dyDescent="0.3">
      <c r="A38" t="s">
        <v>57</v>
      </c>
      <c r="B38">
        <f>IFERROR(_xlfn.XLOOKUP(A38,'Appendix A'!A:A,'Appendix A'!H:H),"")</f>
        <v>3.09</v>
      </c>
      <c r="C38" t="s">
        <v>128</v>
      </c>
      <c r="E38" t="e">
        <f>E37+E36</f>
        <v>#N/A</v>
      </c>
      <c r="F38" t="s">
        <v>229</v>
      </c>
      <c r="G38" t="e">
        <f>100*(E38-B38)/B38</f>
        <v>#N/A</v>
      </c>
      <c r="H38" t="s">
        <v>230</v>
      </c>
    </row>
    <row r="39" spans="1:8" x14ac:dyDescent="0.3">
      <c r="A39" t="s">
        <v>47</v>
      </c>
      <c r="B39">
        <f>IFERROR(_xlfn.XLOOKUP(A39,'Appendix A'!A:A,'Appendix A'!H:H),"")</f>
        <v>1030.53</v>
      </c>
      <c r="C39" t="s">
        <v>131</v>
      </c>
      <c r="D39" t="s">
        <v>133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ref="G39:G50" si="2">100*(E39-B39)/B39</f>
        <v>#N/A</v>
      </c>
    </row>
    <row r="40" spans="1:8" x14ac:dyDescent="0.3">
      <c r="A40" t="s">
        <v>66</v>
      </c>
      <c r="B40">
        <f>IFERROR(_xlfn.XLOOKUP(A40,'Appendix A'!A:A,'Appendix A'!H:H),"")</f>
        <v>1038.75</v>
      </c>
      <c r="C40" t="s">
        <v>132</v>
      </c>
      <c r="D40" t="s">
        <v>134</v>
      </c>
      <c r="E40" t="e" cm="1">
        <f t="array" ref="E40">_xll.ReadKSpice(_xlfn.CONCAT("/",$B$1,"/",$B$2,"/",D40,"@V_Unit=",F40))</f>
        <v>#N/A</v>
      </c>
      <c r="F40" t="s">
        <v>218</v>
      </c>
      <c r="G40" t="e">
        <f t="shared" si="2"/>
        <v>#N/A</v>
      </c>
    </row>
    <row r="41" spans="1:8" x14ac:dyDescent="0.3">
      <c r="A41" t="s">
        <v>16</v>
      </c>
      <c r="B41">
        <f>IFERROR(_xlfn.XLOOKUP(A41,'Appendix A'!A:A,'Appendix A'!H:H),"")</f>
        <v>38.93</v>
      </c>
      <c r="C41" t="s">
        <v>233</v>
      </c>
      <c r="D41" t="s">
        <v>234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  <c r="H41" t="s">
        <v>240</v>
      </c>
    </row>
    <row r="42" spans="1:8" x14ac:dyDescent="0.3">
      <c r="A42" t="s">
        <v>73</v>
      </c>
      <c r="B42">
        <f>IFERROR(_xlfn.XLOOKUP(A42,'Appendix A'!A:A,'Appendix A'!H:H),"")</f>
        <v>35.78</v>
      </c>
      <c r="C42" t="s">
        <v>137</v>
      </c>
      <c r="D42" t="s">
        <v>146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17</v>
      </c>
      <c r="B43">
        <f>IFERROR(_xlfn.XLOOKUP(A43,'Appendix A'!A:A,'Appendix A'!H:H),"")</f>
        <v>36.56</v>
      </c>
      <c r="C43" t="s">
        <v>18</v>
      </c>
      <c r="D43" t="s">
        <v>147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19</v>
      </c>
      <c r="B44">
        <f>IFERROR(_xlfn.XLOOKUP(A44,'Appendix A'!A:A,'Appendix A'!H:H),"")</f>
        <v>37.270000000000003</v>
      </c>
      <c r="C44" t="s">
        <v>138</v>
      </c>
      <c r="D44" t="s">
        <v>148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20</v>
      </c>
      <c r="B45">
        <f>IFERROR(_xlfn.XLOOKUP(A45,'Appendix A'!A:A,'Appendix A'!H:H),"")</f>
        <v>37.96</v>
      </c>
      <c r="C45" t="s">
        <v>139</v>
      </c>
      <c r="D45" t="s">
        <v>149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21</v>
      </c>
      <c r="B46">
        <f>IFERROR(_xlfn.XLOOKUP(A46,'Appendix A'!A:A,'Appendix A'!H:H),"")</f>
        <v>38.75</v>
      </c>
      <c r="C46" t="s">
        <v>140</v>
      </c>
      <c r="D46" t="s">
        <v>150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22</v>
      </c>
      <c r="B47">
        <f>IFERROR(_xlfn.XLOOKUP(A47,'Appendix A'!A:A,'Appendix A'!H:H),"")</f>
        <v>42.86</v>
      </c>
      <c r="C47" t="s">
        <v>141</v>
      </c>
      <c r="D47" t="s">
        <v>151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23</v>
      </c>
      <c r="B48">
        <f>IFERROR(_xlfn.XLOOKUP(A48,'Appendix A'!A:A,'Appendix A'!H:H),"")</f>
        <v>48.13</v>
      </c>
      <c r="C48" t="s">
        <v>142</v>
      </c>
      <c r="D48" t="s">
        <v>152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24</v>
      </c>
      <c r="B49">
        <f>IFERROR(_xlfn.XLOOKUP(A49,'Appendix A'!A:A,'Appendix A'!H:H),"")</f>
        <v>49.21</v>
      </c>
      <c r="C49" t="s">
        <v>143</v>
      </c>
      <c r="D49" t="s">
        <v>153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83</v>
      </c>
      <c r="B50">
        <f>IFERROR(_xlfn.XLOOKUP(A50,'Appendix A'!A:A,'Appendix A'!H:H),"")</f>
        <v>45.73</v>
      </c>
      <c r="C50" t="s">
        <v>144</v>
      </c>
      <c r="D50" t="s">
        <v>154</v>
      </c>
      <c r="E50" t="e" cm="1">
        <f t="array" ref="E50">_xll.ReadKSpice(_xlfn.CONCAT("/",$B$1,"/",$B$2,"/",D50,"@V_Unit=",F50))</f>
        <v>#N/A</v>
      </c>
      <c r="F50" t="s">
        <v>14</v>
      </c>
      <c r="G50" t="e">
        <f t="shared" si="2"/>
        <v>#N/A</v>
      </c>
    </row>
    <row r="51" spans="1:8" x14ac:dyDescent="0.3">
      <c r="A51" t="s">
        <v>70</v>
      </c>
      <c r="B51">
        <f>IFERROR(_xlfn.XLOOKUP(A51,'Appendix A'!A:A,'Appendix A'!H:H),"")</f>
        <v>6.49</v>
      </c>
      <c r="F51" t="s">
        <v>217</v>
      </c>
      <c r="G51" t="s">
        <v>202</v>
      </c>
    </row>
    <row r="52" spans="1:8" x14ac:dyDescent="0.3">
      <c r="A52" t="s">
        <v>64</v>
      </c>
      <c r="B52">
        <f>IFERROR(_xlfn.XLOOKUP(A52,'Appendix A'!A:A,'Appendix A'!H:H),"")</f>
        <v>11.95</v>
      </c>
      <c r="F52" t="s">
        <v>217</v>
      </c>
      <c r="G52" t="s">
        <v>202</v>
      </c>
      <c r="H52" t="s">
        <v>103</v>
      </c>
    </row>
    <row r="53" spans="1:8" x14ac:dyDescent="0.3">
      <c r="A53" t="s">
        <v>104</v>
      </c>
      <c r="B53">
        <f>B51+B52</f>
        <v>18.439999999999998</v>
      </c>
      <c r="C53" t="s">
        <v>145</v>
      </c>
      <c r="D53" t="s">
        <v>155</v>
      </c>
      <c r="E53" t="e" cm="1">
        <f t="array" ref="E53">_xll.ReadKSpice(_xlfn.CONCAT("/",$B$1,"/",$B$2,"/",D53,"@V_Unit=",F53))</f>
        <v>#N/A</v>
      </c>
      <c r="F53" t="s">
        <v>217</v>
      </c>
      <c r="G53" t="e">
        <f>100*(E53-B53)/B53</f>
        <v>#N/A</v>
      </c>
      <c r="H53" t="s">
        <v>241</v>
      </c>
    </row>
    <row r="54" spans="1:8" x14ac:dyDescent="0.3">
      <c r="G54" t="s">
        <v>202</v>
      </c>
    </row>
    <row r="55" spans="1:8" x14ac:dyDescent="0.3">
      <c r="A55" s="6" t="s">
        <v>97</v>
      </c>
      <c r="C55" s="7"/>
      <c r="D55" s="7"/>
      <c r="E55" s="7"/>
      <c r="F55" s="7"/>
      <c r="G55" s="7" t="s">
        <v>202</v>
      </c>
      <c r="H55" s="7"/>
    </row>
    <row r="56" spans="1:8" x14ac:dyDescent="0.3">
      <c r="A56" t="s">
        <v>59</v>
      </c>
      <c r="B56">
        <f>IFERROR(_xlfn.XLOOKUP(A56,'Appendix A'!A:A,'Appendix A'!H:H),"")</f>
        <v>180.31</v>
      </c>
      <c r="C56" t="s">
        <v>156</v>
      </c>
      <c r="D56" t="s">
        <v>157</v>
      </c>
      <c r="E56" t="e" cm="1">
        <f t="array" ref="E56">_xll.ReadKSpice(_xlfn.CONCAT("/",$B$1,"/",$B$2,"/",D56,"@V_Unit=",F56))</f>
        <v>#N/A</v>
      </c>
      <c r="F56" t="s">
        <v>33</v>
      </c>
      <c r="G56" t="e">
        <f>100*(E56-B56)/B56</f>
        <v>#N/A</v>
      </c>
    </row>
    <row r="57" spans="1:8" x14ac:dyDescent="0.3">
      <c r="A57" t="s">
        <v>74</v>
      </c>
      <c r="B57">
        <f>IFERROR(_xlfn.XLOOKUP(A57,'Appendix A'!A:A,'Appendix A'!H:H),"")</f>
        <v>35.76</v>
      </c>
      <c r="F57" t="s">
        <v>14</v>
      </c>
      <c r="G57" t="s">
        <v>202</v>
      </c>
      <c r="H57" t="s">
        <v>98</v>
      </c>
    </row>
    <row r="58" spans="1:8" x14ac:dyDescent="0.3">
      <c r="A58" t="s">
        <v>75</v>
      </c>
      <c r="B58">
        <f>IFERROR(_xlfn.XLOOKUP(A58,'Appendix A'!A:A,'Appendix A'!H:H),"")</f>
        <v>41.79</v>
      </c>
      <c r="C58" t="s">
        <v>158</v>
      </c>
      <c r="D58" t="s">
        <v>159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A59" t="s">
        <v>76</v>
      </c>
      <c r="B59">
        <f>IFERROR(_xlfn.XLOOKUP(A59,'Appendix A'!A:A,'Appendix A'!H:H),"")</f>
        <v>35.14</v>
      </c>
      <c r="C59" t="s">
        <v>161</v>
      </c>
      <c r="D59" t="s">
        <v>160</v>
      </c>
      <c r="E59" t="e" cm="1">
        <f t="array" ref="E59">_xll.ReadKSpice(_xlfn.CONCAT("/",$B$1,"/",$B$2,"/",D59,"@V_Unit=",F59))</f>
        <v>#N/A</v>
      </c>
      <c r="F59" t="s">
        <v>14</v>
      </c>
      <c r="G59" t="e">
        <f>100*(E59-B59)/B59</f>
        <v>#N/A</v>
      </c>
    </row>
    <row r="60" spans="1:8" x14ac:dyDescent="0.3">
      <c r="G60" t="s">
        <v>202</v>
      </c>
    </row>
    <row r="61" spans="1:8" x14ac:dyDescent="0.3">
      <c r="A61" s="6" t="s">
        <v>26</v>
      </c>
      <c r="C61" s="7"/>
      <c r="D61" s="7"/>
      <c r="E61" s="7"/>
      <c r="F61" s="7"/>
      <c r="G61" s="7" t="s">
        <v>202</v>
      </c>
      <c r="H61" s="7"/>
    </row>
    <row r="62" spans="1:8" x14ac:dyDescent="0.3">
      <c r="A62" t="s">
        <v>84</v>
      </c>
      <c r="B62">
        <f>IFERROR(_xlfn.XLOOKUP(A62,'Appendix A'!A:A,'Appendix A'!H:H),"")</f>
        <v>111.46</v>
      </c>
      <c r="C62" t="s">
        <v>162</v>
      </c>
      <c r="D62" t="s">
        <v>169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ref="G62:G69" si="3">100*(E62-B62)/B62</f>
        <v>#N/A</v>
      </c>
    </row>
    <row r="63" spans="1:8" x14ac:dyDescent="0.3">
      <c r="A63" t="s">
        <v>85</v>
      </c>
      <c r="B63">
        <f>IFERROR(_xlfn.XLOOKUP(A63,'Appendix A'!A:A,'Appendix A'!H:H),"")</f>
        <v>98.98</v>
      </c>
      <c r="C63" t="s">
        <v>163</v>
      </c>
      <c r="D63" t="s">
        <v>170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86</v>
      </c>
      <c r="B64">
        <f>IFERROR(_xlfn.XLOOKUP(A64,'Appendix A'!A:A,'Appendix A'!H:H),"")</f>
        <v>99.03</v>
      </c>
      <c r="C64" t="s">
        <v>164</v>
      </c>
      <c r="D64" t="s">
        <v>171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87</v>
      </c>
      <c r="B65">
        <f>IFERROR(_xlfn.XLOOKUP(A65,'Appendix A'!A:A,'Appendix A'!H:H),"")</f>
        <v>99.37</v>
      </c>
      <c r="C65" t="s">
        <v>165</v>
      </c>
      <c r="D65" t="s">
        <v>172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88</v>
      </c>
      <c r="B66">
        <f>IFERROR(_xlfn.XLOOKUP(A66,'Appendix A'!A:A,'Appendix A'!H:H),"")</f>
        <v>99.56</v>
      </c>
      <c r="C66" t="s">
        <v>166</v>
      </c>
      <c r="D66" t="s">
        <v>173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79</v>
      </c>
      <c r="B67">
        <f>IFERROR(_xlfn.XLOOKUP(A67,'Appendix A'!A:A,'Appendix A'!H:H),"")</f>
        <v>100.05</v>
      </c>
      <c r="C67" t="s">
        <v>227</v>
      </c>
      <c r="D67" t="s">
        <v>228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81</v>
      </c>
      <c r="B68">
        <f>IFERROR(_xlfn.XLOOKUP(A68,'Appendix A'!A:A,'Appendix A'!H:H),"")</f>
        <v>106.07</v>
      </c>
      <c r="C68" t="s">
        <v>167</v>
      </c>
      <c r="D68" t="s">
        <v>174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A69" t="s">
        <v>82</v>
      </c>
      <c r="B69">
        <f>IFERROR(_xlfn.XLOOKUP(A69,'Appendix A'!A:A,'Appendix A'!H:H),"")</f>
        <v>97.97</v>
      </c>
      <c r="C69" t="s">
        <v>168</v>
      </c>
      <c r="D69" t="s">
        <v>175</v>
      </c>
      <c r="E69" t="e" cm="1">
        <f t="array" ref="E69">_xll.ReadKSpice(_xlfn.CONCAT("/",$B$1,"/",$B$2,"/",D69,"@V_Unit=",F69))</f>
        <v>#N/A</v>
      </c>
      <c r="F69" t="s">
        <v>14</v>
      </c>
      <c r="G69" t="e">
        <f t="shared" si="3"/>
        <v>#N/A</v>
      </c>
    </row>
    <row r="70" spans="1:8" x14ac:dyDescent="0.3">
      <c r="G70" t="s">
        <v>202</v>
      </c>
    </row>
    <row r="71" spans="1:8" x14ac:dyDescent="0.3">
      <c r="A71" s="8" t="s">
        <v>27</v>
      </c>
      <c r="C71" s="7"/>
      <c r="D71" s="7"/>
      <c r="E71" s="7"/>
      <c r="F71" s="7"/>
      <c r="G71" s="7" t="s">
        <v>202</v>
      </c>
      <c r="H71" s="7"/>
    </row>
    <row r="72" spans="1:8" x14ac:dyDescent="0.3">
      <c r="A72" t="s">
        <v>60</v>
      </c>
      <c r="B72">
        <f>IFERROR(_xlfn.XLOOKUP(A72,'Appendix A'!A:A,'Appendix A'!H:H),"")</f>
        <v>2.11</v>
      </c>
      <c r="C72" t="s">
        <v>176</v>
      </c>
      <c r="D72" t="s">
        <v>181</v>
      </c>
      <c r="E72" t="e" cm="1">
        <f t="array" ref="E72">_xll.ReadKSpice(_xlfn.CONCAT("/",$B$1,"/",$B$2,"/",D72,"@V_Unit=",F72))</f>
        <v>#N/A</v>
      </c>
      <c r="F72" t="s">
        <v>33</v>
      </c>
      <c r="G72" t="e">
        <f t="shared" ref="G72:G77" si="4">100*(E72-B72)/B72</f>
        <v>#N/A</v>
      </c>
    </row>
    <row r="73" spans="1:8" x14ac:dyDescent="0.3">
      <c r="A73" t="s">
        <v>63</v>
      </c>
      <c r="B73">
        <f>IFERROR(_xlfn.XLOOKUP(A73,'Appendix A'!A:A,'Appendix A'!H:H),"")</f>
        <v>6.13</v>
      </c>
      <c r="C73" t="s">
        <v>177</v>
      </c>
      <c r="D73" t="s">
        <v>182</v>
      </c>
      <c r="E73" t="e" cm="1">
        <f t="array" ref="E73">_xll.ReadKSpice(_xlfn.CONCAT("/",$B$1,"/",$B$2,"/",D73,"@V_Unit=",F73))</f>
        <v>#N/A</v>
      </c>
      <c r="F73" t="s">
        <v>41</v>
      </c>
      <c r="G73" t="e">
        <f t="shared" si="4"/>
        <v>#N/A</v>
      </c>
    </row>
    <row r="74" spans="1:8" x14ac:dyDescent="0.3">
      <c r="A74" t="s">
        <v>65</v>
      </c>
      <c r="B74">
        <f>IFERROR(_xlfn.XLOOKUP(A74,'Appendix A'!A:A,'Appendix A'!H:H),"")</f>
        <v>54.75</v>
      </c>
      <c r="C74" t="s">
        <v>226</v>
      </c>
      <c r="D74" t="s">
        <v>225</v>
      </c>
      <c r="E74" t="e" cm="1">
        <f t="array" ref="E74">_xll.ReadKSpice(_xlfn.CONCAT("/",$B$1,"/",$B$2,"/",D74,"@V_Unit=",F74))</f>
        <v>#N/A</v>
      </c>
      <c r="F74" t="s">
        <v>217</v>
      </c>
      <c r="G74" t="e">
        <f t="shared" si="4"/>
        <v>#N/A</v>
      </c>
    </row>
    <row r="75" spans="1:8" x14ac:dyDescent="0.3">
      <c r="A75" t="s">
        <v>68</v>
      </c>
      <c r="B75">
        <f>IFERROR(_xlfn.XLOOKUP(A75,'Appendix A'!A:A,'Appendix A'!H:H),"")</f>
        <v>0.7</v>
      </c>
      <c r="C75" t="s">
        <v>178</v>
      </c>
      <c r="D75" t="s">
        <v>183</v>
      </c>
      <c r="E75" t="e" cm="1">
        <f t="array" ref="E75">_xll.ReadKSpice(_xlfn.CONCAT("/",$B$1,"/",$B$2,"/",D75,"@V_Unit=",F75))</f>
        <v>#N/A</v>
      </c>
      <c r="F75" t="s">
        <v>51</v>
      </c>
      <c r="G75" t="e">
        <f t="shared" si="4"/>
        <v>#N/A</v>
      </c>
    </row>
    <row r="76" spans="1:8" x14ac:dyDescent="0.3">
      <c r="A76" t="s">
        <v>80</v>
      </c>
      <c r="B76">
        <f>IFERROR(_xlfn.XLOOKUP(A76,'Appendix A'!A:A,'Appendix A'!H:H),"")</f>
        <v>15.2</v>
      </c>
      <c r="C76" t="s">
        <v>179</v>
      </c>
      <c r="D76" t="s">
        <v>184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A77" t="s">
        <v>206</v>
      </c>
      <c r="B77">
        <f>IFERROR(_xlfn.XLOOKUP(A77,'Appendix A'!A:A,'Appendix A'!H:H),"")</f>
        <v>113.05</v>
      </c>
      <c r="C77" t="s">
        <v>180</v>
      </c>
      <c r="D77" t="s">
        <v>185</v>
      </c>
      <c r="E77" t="e" cm="1">
        <f t="array" ref="E77">_xll.ReadKSpice(_xlfn.CONCAT("/",$B$1,"/",$B$2,"/",D77,"@V_Unit=",F77))</f>
        <v>#N/A</v>
      </c>
      <c r="F77" t="s">
        <v>14</v>
      </c>
      <c r="G77" t="e">
        <f t="shared" si="4"/>
        <v>#N/A</v>
      </c>
    </row>
    <row r="78" spans="1:8" x14ac:dyDescent="0.3">
      <c r="G78" t="s">
        <v>202</v>
      </c>
    </row>
    <row r="79" spans="1:8" x14ac:dyDescent="0.3">
      <c r="A79" s="6" t="s">
        <v>28</v>
      </c>
      <c r="C79" s="7"/>
      <c r="D79" s="7"/>
      <c r="E79" s="7"/>
      <c r="F79" s="7"/>
      <c r="G79" s="7" t="s">
        <v>202</v>
      </c>
      <c r="H79" s="7"/>
    </row>
    <row r="80" spans="1:8" x14ac:dyDescent="0.3">
      <c r="A80" t="s">
        <v>61</v>
      </c>
      <c r="B80">
        <f>IFERROR(_xlfn.XLOOKUP(A80,'Appendix A'!A:A,'Appendix A'!H:H),"")</f>
        <v>4.95</v>
      </c>
      <c r="C80" t="s">
        <v>186</v>
      </c>
      <c r="D80" t="s">
        <v>187</v>
      </c>
      <c r="E80" t="e" cm="1">
        <f t="array" ref="E80">_xll.ReadKSpice(_xlfn.CONCAT("/",$B$1,"/",$B$2,"/",D80,"@V_Unit=",F80))</f>
        <v>#N/A</v>
      </c>
      <c r="F80" t="s">
        <v>33</v>
      </c>
      <c r="G80" t="e">
        <f>100*(E80-B80)/B80</f>
        <v>#N/A</v>
      </c>
    </row>
    <row r="81" spans="1:8" x14ac:dyDescent="0.3">
      <c r="A81" t="s">
        <v>69</v>
      </c>
      <c r="B81">
        <f>IFERROR(_xlfn.XLOOKUP(A81,'Appendix A'!A:A,'Appendix A'!H:H),"")</f>
        <v>0.69</v>
      </c>
      <c r="C81" t="s">
        <v>223</v>
      </c>
      <c r="D81" t="s">
        <v>224</v>
      </c>
      <c r="E81" t="e" cm="1">
        <f t="array" ref="E81">_xll.ReadKSpice(_xlfn.CONCAT("/",$B$1,"/",$B$2,"/",D81,"@V_Unit=",F81))</f>
        <v>#N/A</v>
      </c>
      <c r="F81" t="s">
        <v>51</v>
      </c>
      <c r="G81" t="e">
        <f>100*(E81-B81)/B81</f>
        <v>#N/A</v>
      </c>
    </row>
    <row r="82" spans="1:8" x14ac:dyDescent="0.3">
      <c r="G82" t="s">
        <v>202</v>
      </c>
    </row>
    <row r="83" spans="1:8" x14ac:dyDescent="0.3">
      <c r="A83" s="6" t="s">
        <v>99</v>
      </c>
      <c r="B83" t="str">
        <f>IFERROR(_xlfn.XLOOKUP(A83,'Appendix A'!A:A,'Appendix A'!D:D),"")</f>
        <v/>
      </c>
      <c r="C83" s="7"/>
      <c r="D83" s="7"/>
      <c r="E83" s="7"/>
      <c r="F83" s="7"/>
      <c r="G83" s="7" t="s">
        <v>202</v>
      </c>
      <c r="H83" s="7"/>
    </row>
    <row r="84" spans="1:8" x14ac:dyDescent="0.3">
      <c r="A84" t="s">
        <v>92</v>
      </c>
      <c r="B84">
        <f>IFERROR(_xlfn.XLOOKUP(A84,'Appendix A'!A:A,'Appendix A'!H:H),"")</f>
        <v>38.06</v>
      </c>
      <c r="C84" t="s">
        <v>188</v>
      </c>
      <c r="D84" t="s">
        <v>191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</row>
    <row r="85" spans="1:8" x14ac:dyDescent="0.3">
      <c r="A85" t="s">
        <v>135</v>
      </c>
      <c r="B85" t="str">
        <f>IFERROR(_xlfn.XLOOKUP(A85,'Appendix A'!A:A,'Appendix A'!E:E),"")</f>
        <v/>
      </c>
      <c r="C85" t="s">
        <v>189</v>
      </c>
      <c r="D85" t="s">
        <v>192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  <c r="H85" t="s">
        <v>136</v>
      </c>
    </row>
    <row r="86" spans="1:8" x14ac:dyDescent="0.3">
      <c r="A86" t="s">
        <v>78</v>
      </c>
      <c r="B86">
        <f>IFERROR(_xlfn.XLOOKUP(A86,'Appendix A'!A:A,'Appendix A'!H:H),"")</f>
        <v>103.18</v>
      </c>
      <c r="C86" t="s">
        <v>190</v>
      </c>
      <c r="D86" t="s">
        <v>193</v>
      </c>
      <c r="E86" t="e" cm="1">
        <f t="array" ref="E86">_xll.ReadKSpice(_xlfn.CONCAT("/",$B$1,"/",$B$2,"/",D86,"@V_Unit=",F86))</f>
        <v>#N/A</v>
      </c>
      <c r="F86" t="s">
        <v>14</v>
      </c>
      <c r="G86" t="e">
        <f>100*(E86-B86)/B86</f>
        <v>#N/A</v>
      </c>
    </row>
    <row r="87" spans="1:8" x14ac:dyDescent="0.3">
      <c r="G87" t="s">
        <v>202</v>
      </c>
    </row>
    <row r="88" spans="1:8" x14ac:dyDescent="0.3">
      <c r="A88" s="6" t="s">
        <v>100</v>
      </c>
      <c r="C88" s="7"/>
      <c r="D88" s="7"/>
      <c r="E88" s="7"/>
      <c r="F88" s="7"/>
      <c r="G88" s="7" t="s">
        <v>202</v>
      </c>
      <c r="H88" s="7"/>
    </row>
    <row r="89" spans="1:8" x14ac:dyDescent="0.3">
      <c r="A89" t="s">
        <v>89</v>
      </c>
      <c r="B89">
        <f>IFERROR(_xlfn.XLOOKUP(A89,'Appendix A'!A:A,'Appendix A'!H:H),"")</f>
        <v>30.63</v>
      </c>
      <c r="C89" t="s">
        <v>194</v>
      </c>
      <c r="D89" t="s">
        <v>196</v>
      </c>
      <c r="E89" t="e" cm="1">
        <f t="array" ref="E89">_xll.ReadKSpice(_xlfn.CONCAT("/",$B$1,"/",$B$2,"/",D89,"@V_Unit=",F89))</f>
        <v>#N/A</v>
      </c>
      <c r="F89" t="s">
        <v>14</v>
      </c>
      <c r="G89" t="e">
        <f>100*(E89-B89)/B89</f>
        <v>#N/A</v>
      </c>
      <c r="H89" s="3"/>
    </row>
    <row r="90" spans="1:8" x14ac:dyDescent="0.3">
      <c r="G90" t="s">
        <v>202</v>
      </c>
    </row>
    <row r="91" spans="1:8" x14ac:dyDescent="0.3">
      <c r="A91" s="6" t="s">
        <v>101</v>
      </c>
      <c r="C91" s="7"/>
      <c r="D91" s="7"/>
      <c r="E91" s="7"/>
      <c r="F91" s="7"/>
      <c r="G91" s="7" t="s">
        <v>202</v>
      </c>
      <c r="H91" s="7"/>
    </row>
    <row r="92" spans="1:8" x14ac:dyDescent="0.3">
      <c r="A92" t="s">
        <v>90</v>
      </c>
      <c r="B92">
        <f>IFERROR(_xlfn.XLOOKUP(A92,'Appendix A'!A:A,'Appendix A'!H:H),"")</f>
        <v>16.98</v>
      </c>
      <c r="C92" t="s">
        <v>195</v>
      </c>
      <c r="D92" t="s">
        <v>197</v>
      </c>
      <c r="E92" t="e" cm="1">
        <f t="array" ref="E92">_xll.ReadKSpice(_xlfn.CONCAT("/",$B$1,"/",$B$2,"/",D92,"@V_Unit=",F92))</f>
        <v>#N/A</v>
      </c>
      <c r="F92" t="s">
        <v>14</v>
      </c>
      <c r="G92" t="e">
        <f>100*(E92-B92)/B92</f>
        <v>#N/A</v>
      </c>
    </row>
    <row r="93" spans="1:8" x14ac:dyDescent="0.3">
      <c r="G93" t="s">
        <v>202</v>
      </c>
    </row>
    <row r="94" spans="1:8" x14ac:dyDescent="0.3">
      <c r="A94" s="6" t="s">
        <v>102</v>
      </c>
      <c r="C94" s="7"/>
      <c r="D94" s="7"/>
      <c r="E94" s="7"/>
      <c r="F94" s="7"/>
      <c r="G94" s="7" t="s">
        <v>202</v>
      </c>
      <c r="H94" s="7"/>
    </row>
    <row r="95" spans="1:8" x14ac:dyDescent="0.3">
      <c r="A95" t="s">
        <v>62</v>
      </c>
      <c r="B95">
        <f>IFERROR(_xlfn.XLOOKUP(A95,'Appendix A'!A:A,'Appendix A'!H:H),"")</f>
        <v>196.66</v>
      </c>
      <c r="E95" t="e" cm="1">
        <f t="array" ref="E95">_xll.ReadKSpice(_xlfn.CONCAT("/",$B$1,"/",$B$2,"/",D95,"@V_Unit=",F95))</f>
        <v>#N/A</v>
      </c>
      <c r="F95" t="s">
        <v>33</v>
      </c>
      <c r="G95" t="e">
        <f>100*(E95-B95)/B95</f>
        <v>#N/A</v>
      </c>
    </row>
    <row r="96" spans="1:8" s="3" customFormat="1" x14ac:dyDescent="0.3">
      <c r="A96" t="s">
        <v>71</v>
      </c>
      <c r="B96">
        <f>IFERROR(_xlfn.XLOOKUP(A96,'Appendix A'!A:A,'Appendix A'!H:H),"")</f>
        <v>1.075</v>
      </c>
      <c r="C96"/>
      <c r="D96"/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7" x14ac:dyDescent="0.3">
      <c r="A97" t="s">
        <v>72</v>
      </c>
      <c r="B97">
        <f>IFERROR(_xlfn.XLOOKUP(A97,'Appendix A'!A:A,'Appendix A'!H:H),"")</f>
        <v>1.1020000000000001</v>
      </c>
      <c r="E97" t="e" cm="1">
        <f t="array" ref="E97">_xll.ReadKSpice(_xlfn.CONCAT("/",$B$1,"/",$B$2,"/",D97,"@V_Unit=",F97))</f>
        <v>#N/A</v>
      </c>
      <c r="F97" t="s">
        <v>95</v>
      </c>
      <c r="G97" t="e">
        <f>100*(E97-B97)/B97</f>
        <v>#N/A</v>
      </c>
    </row>
    <row r="98" spans="1:7" x14ac:dyDescent="0.3">
      <c r="A98" t="s">
        <v>77</v>
      </c>
      <c r="B98">
        <f>IFERROR(_xlfn.XLOOKUP(A98,'Appendix A'!A:A,'Appendix A'!H:H),"")</f>
        <v>36.299999999999997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7" x14ac:dyDescent="0.3">
      <c r="A99" t="s">
        <v>91</v>
      </c>
      <c r="B99">
        <f>IFERROR(_xlfn.XLOOKUP(A99,'Appendix A'!A:A,'Appendix A'!H:H),"")</f>
        <v>37.1</v>
      </c>
      <c r="E99" t="e" cm="1">
        <f t="array" ref="E99">_xll.ReadKSpice(_xlfn.CONCAT("/",$B$1,"/",$B$2,"/",D99,"@V_Unit=",F99))</f>
        <v>#N/A</v>
      </c>
      <c r="F99" t="s">
        <v>14</v>
      </c>
      <c r="G99" t="e">
        <f>100*(E99-B99)/B99</f>
        <v>#N/A</v>
      </c>
    </row>
    <row r="100" spans="1:7" x14ac:dyDescent="0.3">
      <c r="B100" s="9"/>
    </row>
    <row r="121" spans="1:4" x14ac:dyDescent="0.3">
      <c r="A121" s="3"/>
    </row>
    <row r="122" spans="1:4" x14ac:dyDescent="0.3">
      <c r="C122" s="10"/>
      <c r="D122" s="10"/>
    </row>
    <row r="126" spans="1:4" x14ac:dyDescent="0.3">
      <c r="A126" s="3"/>
    </row>
    <row r="132" spans="1:4" x14ac:dyDescent="0.3">
      <c r="A132" s="1"/>
      <c r="C132" s="1"/>
      <c r="D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  <row r="139" spans="1:4" x14ac:dyDescent="0.3">
      <c r="A139" s="1"/>
    </row>
  </sheetData>
  <conditionalFormatting sqref="G13:G99">
    <cfRule type="expression" dxfId="8" priority="1">
      <formula>ABS(G13)&gt;10</formula>
    </cfRule>
    <cfRule type="expression" dxfId="7" priority="2">
      <formula>AND(ABS(G13)&gt;=5,ABS(G13)&lt;10)</formula>
    </cfRule>
    <cfRule type="expression" dxfId="6" priority="3">
      <formula>ABS(G13)&lt;5</formula>
    </cfRule>
  </conditionalFormatting>
  <pageMargins left="0.7" right="0.7" top="0.75" bottom="0.75" header="0.3" footer="0.3"/>
  <headerFooter>
    <oddFooter>&amp;C_x000D_&amp;1#&amp;"Aptos"&amp;14&amp;K000000 KDI LIMITED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DF67-2421-4A1A-957E-29478D92F926}">
  <dimension ref="A1:J139"/>
  <sheetViews>
    <sheetView zoomScale="70" zoomScaleNormal="70" workbookViewId="0">
      <selection activeCell="L62" sqref="L62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7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A'!I:I),"")</f>
        <v>118.87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4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A'!I:I),"")</f>
        <v>238.82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67</v>
      </c>
      <c r="B15">
        <f>IFERROR(_xlfn.XLOOKUP(A15,'Appendix A'!A:A,'Appendix A'!I:I),"")</f>
        <v>1045.31</v>
      </c>
      <c r="C15" t="s">
        <v>238</v>
      </c>
      <c r="D15" t="s">
        <v>235</v>
      </c>
      <c r="E15" t="e" cm="1">
        <f t="array" ref="E15">_xll.ReadKSpice(_xlfn.CONCAT("/",$B$1,"/",$B$2,"/",D15,"@V_Unit=",F15))</f>
        <v>#N/A</v>
      </c>
      <c r="F15" t="s">
        <v>218</v>
      </c>
      <c r="G15" t="e">
        <f t="shared" si="0"/>
        <v>#N/A</v>
      </c>
      <c r="H15" t="s">
        <v>239</v>
      </c>
    </row>
    <row r="16" spans="1:10" x14ac:dyDescent="0.3">
      <c r="A16" t="s">
        <v>25</v>
      </c>
      <c r="B16">
        <f>IFERROR(_xlfn.XLOOKUP(A16,'Appendix A'!A:A,'Appendix A'!I:I),"")</f>
        <v>50.02</v>
      </c>
      <c r="C16" t="s">
        <v>107</v>
      </c>
      <c r="D16" t="s">
        <v>113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37</v>
      </c>
    </row>
    <row r="17" spans="1:8" x14ac:dyDescent="0.3">
      <c r="A17" t="s">
        <v>25</v>
      </c>
      <c r="B17">
        <f>IFERROR(_xlfn.XLOOKUP(A17,'Appendix A'!A:A,'Appendix A'!I:I),"")</f>
        <v>50.02</v>
      </c>
      <c r="C17" t="s">
        <v>38</v>
      </c>
      <c r="D17" t="s">
        <v>220</v>
      </c>
      <c r="E17" t="e" cm="1">
        <f t="array" ref="E17">_xll.ReadKSpice(_xlfn.CONCAT("/",$B$1,"/",$B$2,"/",D17,"@V_Unit=",F17))</f>
        <v>#N/A</v>
      </c>
      <c r="F17" t="s">
        <v>14</v>
      </c>
      <c r="G17" t="e">
        <f t="shared" si="0"/>
        <v>#N/A</v>
      </c>
      <c r="H17" t="s">
        <v>108</v>
      </c>
    </row>
    <row r="18" spans="1:8" x14ac:dyDescent="0.3">
      <c r="A18" t="s">
        <v>63</v>
      </c>
      <c r="B18">
        <f>IFERROR(_xlfn.XLOOKUP(A18,'Appendix A'!A:A,'Appendix A'!I:I),"")</f>
        <v>8.33</v>
      </c>
      <c r="C18" t="s">
        <v>40</v>
      </c>
      <c r="D18" t="s">
        <v>219</v>
      </c>
      <c r="E18" t="e" cm="1">
        <f t="array" ref="E18">_xll.ReadKSpice(_xlfn.CONCAT("/",$B$1,"/",$B$2,"/",D18,"@V_Unit=",F18))</f>
        <v>#N/A</v>
      </c>
      <c r="F18" t="s">
        <v>41</v>
      </c>
      <c r="G18" t="e">
        <f t="shared" si="0"/>
        <v>#N/A</v>
      </c>
      <c r="H18" t="s">
        <v>39</v>
      </c>
    </row>
    <row r="19" spans="1:8" x14ac:dyDescent="0.3">
      <c r="A19" t="s">
        <v>16</v>
      </c>
      <c r="B19">
        <f>IFERROR(_xlfn.XLOOKUP(A19,'Appendix A'!A:A,'Appendix A'!I:I),"")</f>
        <v>39.58</v>
      </c>
      <c r="C19" t="s">
        <v>231</v>
      </c>
      <c r="D19" t="s">
        <v>232</v>
      </c>
      <c r="E19" t="e" cm="1">
        <f t="array" ref="E19">_xll.ReadKSpice(_xlfn.CONCAT("/",$B$1,"/",$B$2,"/",D19,"@V_Unit=",F19))</f>
        <v>#N/A</v>
      </c>
      <c r="F19" t="s">
        <v>14</v>
      </c>
      <c r="G19" t="e">
        <f t="shared" si="0"/>
        <v>#N/A</v>
      </c>
      <c r="H19" t="s">
        <v>42</v>
      </c>
    </row>
    <row r="20" spans="1:8" x14ac:dyDescent="0.3">
      <c r="B20">
        <v>0.31</v>
      </c>
      <c r="C20" t="s">
        <v>105</v>
      </c>
      <c r="D20" t="s">
        <v>114</v>
      </c>
      <c r="E20" t="e" cm="1">
        <f t="array" ref="E20">_xll.ReadKSpice(_xlfn.CONCAT("/",$B$1,"/",$B$2,"/",D20,"@V_Unit=",F20))</f>
        <v>#N/A</v>
      </c>
      <c r="F20" t="s">
        <v>43</v>
      </c>
      <c r="G20" t="e">
        <f t="shared" si="0"/>
        <v>#N/A</v>
      </c>
      <c r="H20" t="s">
        <v>44</v>
      </c>
    </row>
    <row r="21" spans="1:8" x14ac:dyDescent="0.3">
      <c r="A21" t="s">
        <v>47</v>
      </c>
      <c r="B21">
        <f>IFERROR(_xlfn.XLOOKUP(A21,'Appendix A'!A:A,'Appendix A'!I:I),"")</f>
        <v>1031.27</v>
      </c>
      <c r="C21" t="s">
        <v>46</v>
      </c>
      <c r="D21" t="s">
        <v>115</v>
      </c>
      <c r="E21" t="e" cm="1">
        <f t="array" ref="E21">_xll.ReadKSpice(_xlfn.CONCAT("/",$B$1,"/",$B$2,"/",D21,"@V_Unit=",F21))</f>
        <v>#N/A</v>
      </c>
      <c r="F21" t="s">
        <v>218</v>
      </c>
      <c r="G21" t="e">
        <f t="shared" si="0"/>
        <v>#N/A</v>
      </c>
      <c r="H21" t="s">
        <v>45</v>
      </c>
    </row>
    <row r="22" spans="1:8" x14ac:dyDescent="0.3">
      <c r="A22" t="s">
        <v>68</v>
      </c>
      <c r="B22">
        <f>IFERROR(_xlfn.XLOOKUP(A22,'Appendix A'!A:A,'Appendix A'!I:I),"")</f>
        <v>0.7</v>
      </c>
      <c r="C22" t="s">
        <v>49</v>
      </c>
      <c r="D22" t="s">
        <v>116</v>
      </c>
      <c r="E22" t="e" cm="1">
        <f t="array" ref="E22">_xll.ReadKSpice(_xlfn.CONCAT("/",$B$1,"/",$B$2,"/",D22,"@V_Unit=",F22))</f>
        <v>#N/A</v>
      </c>
      <c r="F22" t="s">
        <v>51</v>
      </c>
      <c r="G22" t="e">
        <f t="shared" si="0"/>
        <v>#N/A</v>
      </c>
      <c r="H22" t="s">
        <v>48</v>
      </c>
    </row>
    <row r="23" spans="1:8" x14ac:dyDescent="0.3">
      <c r="A23" t="s">
        <v>89</v>
      </c>
      <c r="B23">
        <f>IFERROR(_xlfn.XLOOKUP(A23,'Appendix A'!A:A,'Appendix A'!I:I),"")</f>
        <v>30.6</v>
      </c>
      <c r="C23" t="s">
        <v>53</v>
      </c>
      <c r="D23" t="s">
        <v>117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52</v>
      </c>
    </row>
    <row r="24" spans="1:8" x14ac:dyDescent="0.3">
      <c r="A24" t="s">
        <v>90</v>
      </c>
      <c r="B24">
        <f>IFERROR(_xlfn.XLOOKUP(A24,'Appendix A'!A:A,'Appendix A'!I:I),"")</f>
        <v>22.26</v>
      </c>
      <c r="C24" t="s">
        <v>55</v>
      </c>
      <c r="D24" t="s">
        <v>118</v>
      </c>
      <c r="E24" t="e" cm="1">
        <f t="array" ref="E24">_xll.ReadKSpice(_xlfn.CONCAT("/",$B$1,"/",$B$2,"/",D24,"@V_Unit=",F24))</f>
        <v>#N/A</v>
      </c>
      <c r="F24" t="s">
        <v>14</v>
      </c>
      <c r="G24" t="e">
        <f t="shared" si="0"/>
        <v>#N/A</v>
      </c>
      <c r="H24" t="s">
        <v>54</v>
      </c>
    </row>
    <row r="25" spans="1:8" x14ac:dyDescent="0.3">
      <c r="G25" t="s">
        <v>202</v>
      </c>
    </row>
    <row r="26" spans="1:8" x14ac:dyDescent="0.3">
      <c r="A26" s="6" t="s">
        <v>10</v>
      </c>
      <c r="C26" s="7"/>
      <c r="D26" s="7"/>
      <c r="E26" s="7"/>
      <c r="F26" s="7"/>
      <c r="G26" s="7" t="s">
        <v>202</v>
      </c>
      <c r="H26" s="7"/>
    </row>
    <row r="27" spans="1:8" x14ac:dyDescent="0.3">
      <c r="A27" t="s">
        <v>11</v>
      </c>
      <c r="B27">
        <f>IFERROR(_xlfn.XLOOKUP(A27,'Appendix A'!A:A,'Appendix A'!I:I),"")</f>
        <v>118.87</v>
      </c>
      <c r="C27" t="s">
        <v>12</v>
      </c>
      <c r="D27" t="s">
        <v>119</v>
      </c>
      <c r="E27" t="e" cm="1">
        <f t="array" ref="E27">_xll.ReadKSpice(_xlfn.CONCAT("/",$B$1,"/",$B$2,"/",D27,"@V_Unit=",F27))</f>
        <v>#N/A</v>
      </c>
      <c r="F27" t="s">
        <v>31</v>
      </c>
      <c r="G27" t="e">
        <f t="shared" ref="G27:G32" si="1">100*(E27-B27)/B27</f>
        <v>#N/A</v>
      </c>
    </row>
    <row r="28" spans="1:8" x14ac:dyDescent="0.3">
      <c r="A28" t="s">
        <v>67</v>
      </c>
      <c r="B28">
        <f>IFERROR(_xlfn.XLOOKUP(A28,'Appendix A'!A:A,'Appendix A'!I:I),"")</f>
        <v>1045.31</v>
      </c>
      <c r="C28" t="s">
        <v>236</v>
      </c>
      <c r="D28" t="s">
        <v>237</v>
      </c>
      <c r="E28" t="e" cm="1">
        <f t="array" ref="E28">_xll.ReadKSpice(_xlfn.CONCAT("/",$B$1,"/",$B$2,"/",D28,"@V_Unit=",F28))</f>
        <v>#N/A</v>
      </c>
      <c r="F28" t="s">
        <v>218</v>
      </c>
      <c r="G28" t="e">
        <f t="shared" si="1"/>
        <v>#N/A</v>
      </c>
    </row>
    <row r="29" spans="1:8" x14ac:dyDescent="0.3">
      <c r="A29" t="s">
        <v>13</v>
      </c>
      <c r="B29">
        <f>IFERROR(_xlfn.XLOOKUP(A29,'Appendix A'!A:A,'Appendix A'!I:I),"")</f>
        <v>41.86</v>
      </c>
      <c r="C29" t="s">
        <v>233</v>
      </c>
      <c r="D29" t="s">
        <v>234</v>
      </c>
      <c r="E29" t="e" cm="1">
        <f t="array" ref="E29">_xll.ReadKSpice(_xlfn.CONCAT("/",$B$1,"/",$B$2,"/",D29,"@V_Unit=",F29))</f>
        <v>#N/A</v>
      </c>
      <c r="F29" t="s">
        <v>14</v>
      </c>
      <c r="G29" t="e">
        <f t="shared" si="1"/>
        <v>#N/A</v>
      </c>
    </row>
    <row r="30" spans="1:8" x14ac:dyDescent="0.3">
      <c r="A30" t="s">
        <v>58</v>
      </c>
      <c r="B30">
        <f>IFERROR(_xlfn.XLOOKUP(A30,'Appendix A'!A:A,'Appendix A'!I:I),"")</f>
        <v>238.82</v>
      </c>
      <c r="C30" t="s">
        <v>120</v>
      </c>
      <c r="D30" t="s">
        <v>121</v>
      </c>
      <c r="E30" t="e" cm="1">
        <f t="array" ref="E30">_xll.ReadKSpice(_xlfn.CONCAT("/",$B$1,"/",$B$2,"/",D30,"@V_Unit=",F30))</f>
        <v>#N/A</v>
      </c>
      <c r="F30" t="s">
        <v>33</v>
      </c>
      <c r="G30" t="e">
        <f t="shared" si="1"/>
        <v>#N/A</v>
      </c>
    </row>
    <row r="31" spans="1:8" x14ac:dyDescent="0.3">
      <c r="A31" t="s">
        <v>25</v>
      </c>
      <c r="B31">
        <f>IFERROR(_xlfn.XLOOKUP(A31,'Appendix A'!A:A,'Appendix A'!I:I),"")</f>
        <v>50.02</v>
      </c>
      <c r="C31" t="s">
        <v>109</v>
      </c>
      <c r="D31" t="s">
        <v>110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37</v>
      </c>
    </row>
    <row r="32" spans="1:8" x14ac:dyDescent="0.3">
      <c r="A32" t="s">
        <v>25</v>
      </c>
      <c r="B32">
        <f>IFERROR(_xlfn.XLOOKUP(A32,'Appendix A'!A:A,'Appendix A'!I:I),"")</f>
        <v>50.02</v>
      </c>
      <c r="C32" t="s">
        <v>221</v>
      </c>
      <c r="D32" t="s">
        <v>222</v>
      </c>
      <c r="E32" t="e" cm="1">
        <f t="array" ref="E32">_xll.ReadKSpice(_xlfn.CONCAT("/",$B$1,"/",$B$2,"/",D32,"@V_Unit=",F32))</f>
        <v>#N/A</v>
      </c>
      <c r="F32" t="s">
        <v>14</v>
      </c>
      <c r="G32" t="e">
        <f t="shared" si="1"/>
        <v>#N/A</v>
      </c>
      <c r="H32" t="s">
        <v>108</v>
      </c>
    </row>
    <row r="33" spans="1:8" x14ac:dyDescent="0.3">
      <c r="G33" t="s">
        <v>202</v>
      </c>
    </row>
    <row r="34" spans="1:8" x14ac:dyDescent="0.3">
      <c r="A34" s="6" t="s">
        <v>15</v>
      </c>
      <c r="C34" s="7"/>
      <c r="D34" s="7"/>
      <c r="E34" s="7"/>
      <c r="F34" s="7"/>
      <c r="G34" s="7" t="s">
        <v>202</v>
      </c>
      <c r="H34" s="7"/>
    </row>
    <row r="35" spans="1:8" x14ac:dyDescent="0.3">
      <c r="A35" t="s">
        <v>56</v>
      </c>
      <c r="B35">
        <f>IFERROR(_xlfn.XLOOKUP(A35,'Appendix A'!A:A,'Appendix A'!I:I),"")</f>
        <v>4.57</v>
      </c>
      <c r="C35" t="s">
        <v>122</v>
      </c>
      <c r="D35" t="s">
        <v>123</v>
      </c>
      <c r="E35" t="e" cm="1">
        <f t="array" ref="E35">_xll.ReadKSpice(_xlfn.CONCAT("/",$B$1,"/",$B$2,"/",D35,"@V_Unit=",F35))</f>
        <v>#N/A</v>
      </c>
      <c r="F35" t="s">
        <v>229</v>
      </c>
      <c r="G35" t="e">
        <f>100*(E35-B35)/B35</f>
        <v>#N/A</v>
      </c>
      <c r="H35" t="s">
        <v>96</v>
      </c>
    </row>
    <row r="36" spans="1:8" x14ac:dyDescent="0.3">
      <c r="A36" t="s">
        <v>124</v>
      </c>
      <c r="B36" t="str">
        <f>IFERROR(_xlfn.XLOOKUP(A36,'Appendix A'!A:A,'Appendix A'!D:D),"")</f>
        <v/>
      </c>
      <c r="C36" t="s">
        <v>128</v>
      </c>
      <c r="D36" t="s">
        <v>129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126</v>
      </c>
    </row>
    <row r="37" spans="1:8" x14ac:dyDescent="0.3">
      <c r="A37" t="s">
        <v>125</v>
      </c>
      <c r="B37" t="str">
        <f>IFERROR(_xlfn.XLOOKUP(A37,'Appendix A'!A:A,'Appendix A'!D:D),"")</f>
        <v/>
      </c>
      <c r="C37" t="s">
        <v>128</v>
      </c>
      <c r="D37" t="s">
        <v>130</v>
      </c>
      <c r="E37" t="e" cm="1">
        <f t="array" ref="E37">_xll.ReadKSpice(_xlfn.CONCAT("/",$B$1,"/",$B$2,"/",D37,"@V_Unit=",F37))</f>
        <v>#N/A</v>
      </c>
      <c r="F37" t="s">
        <v>229</v>
      </c>
      <c r="G37" t="s">
        <v>202</v>
      </c>
      <c r="H37" t="s">
        <v>127</v>
      </c>
    </row>
    <row r="38" spans="1:8" x14ac:dyDescent="0.3">
      <c r="A38" t="s">
        <v>57</v>
      </c>
      <c r="B38">
        <f>IFERROR(_xlfn.XLOOKUP(A38,'Appendix A'!A:A,'Appendix A'!I:I),"")</f>
        <v>1.38</v>
      </c>
      <c r="C38" t="s">
        <v>128</v>
      </c>
      <c r="E38" t="e">
        <f>E37+E36</f>
        <v>#N/A</v>
      </c>
      <c r="F38" t="s">
        <v>229</v>
      </c>
      <c r="G38" t="e">
        <f>100*(E38-B38)/B38</f>
        <v>#N/A</v>
      </c>
      <c r="H38" t="s">
        <v>230</v>
      </c>
    </row>
    <row r="39" spans="1:8" x14ac:dyDescent="0.3">
      <c r="A39" t="s">
        <v>47</v>
      </c>
      <c r="B39">
        <f>IFERROR(_xlfn.XLOOKUP(A39,'Appendix A'!A:A,'Appendix A'!I:I),"")</f>
        <v>1031.27</v>
      </c>
      <c r="C39" t="s">
        <v>131</v>
      </c>
      <c r="D39" t="s">
        <v>133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ref="G39:G50" si="2">100*(E39-B39)/B39</f>
        <v>#N/A</v>
      </c>
    </row>
    <row r="40" spans="1:8" x14ac:dyDescent="0.3">
      <c r="A40" t="s">
        <v>66</v>
      </c>
      <c r="B40">
        <f>IFERROR(_xlfn.XLOOKUP(A40,'Appendix A'!A:A,'Appendix A'!I:I),"")</f>
        <v>1041.48</v>
      </c>
      <c r="C40" t="s">
        <v>132</v>
      </c>
      <c r="D40" t="s">
        <v>134</v>
      </c>
      <c r="E40" t="e" cm="1">
        <f t="array" ref="E40">_xll.ReadKSpice(_xlfn.CONCAT("/",$B$1,"/",$B$2,"/",D40,"@V_Unit=",F40))</f>
        <v>#N/A</v>
      </c>
      <c r="F40" t="s">
        <v>218</v>
      </c>
      <c r="G40" t="e">
        <f t="shared" si="2"/>
        <v>#N/A</v>
      </c>
    </row>
    <row r="41" spans="1:8" x14ac:dyDescent="0.3">
      <c r="A41" t="s">
        <v>16</v>
      </c>
      <c r="B41">
        <f>IFERROR(_xlfn.XLOOKUP(A41,'Appendix A'!A:A,'Appendix A'!I:I),"")</f>
        <v>39.58</v>
      </c>
      <c r="C41" t="s">
        <v>233</v>
      </c>
      <c r="D41" t="s">
        <v>234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  <c r="H41" t="s">
        <v>240</v>
      </c>
    </row>
    <row r="42" spans="1:8" x14ac:dyDescent="0.3">
      <c r="A42" t="s">
        <v>73</v>
      </c>
      <c r="B42">
        <f>IFERROR(_xlfn.XLOOKUP(A42,'Appendix A'!A:A,'Appendix A'!I:I),"")</f>
        <v>39.159999999999997</v>
      </c>
      <c r="C42" t="s">
        <v>137</v>
      </c>
      <c r="D42" t="s">
        <v>146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17</v>
      </c>
      <c r="B43">
        <f>IFERROR(_xlfn.XLOOKUP(A43,'Appendix A'!A:A,'Appendix A'!I:I),"")</f>
        <v>40.79</v>
      </c>
      <c r="C43" t="s">
        <v>18</v>
      </c>
      <c r="D43" t="s">
        <v>147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19</v>
      </c>
      <c r="B44">
        <f>IFERROR(_xlfn.XLOOKUP(A44,'Appendix A'!A:A,'Appendix A'!I:I),"")</f>
        <v>43.82</v>
      </c>
      <c r="C44" t="s">
        <v>138</v>
      </c>
      <c r="D44" t="s">
        <v>148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20</v>
      </c>
      <c r="B45">
        <f>IFERROR(_xlfn.XLOOKUP(A45,'Appendix A'!A:A,'Appendix A'!I:I),"")</f>
        <v>45.76</v>
      </c>
      <c r="C45" t="s">
        <v>139</v>
      </c>
      <c r="D45" t="s">
        <v>149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21</v>
      </c>
      <c r="B46">
        <f>IFERROR(_xlfn.XLOOKUP(A46,'Appendix A'!A:A,'Appendix A'!I:I),"")</f>
        <v>47.36</v>
      </c>
      <c r="C46" t="s">
        <v>140</v>
      </c>
      <c r="D46" t="s">
        <v>150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22</v>
      </c>
      <c r="B47">
        <f>IFERROR(_xlfn.XLOOKUP(A47,'Appendix A'!A:A,'Appendix A'!I:I),"")</f>
        <v>52.69</v>
      </c>
      <c r="C47" t="s">
        <v>141</v>
      </c>
      <c r="D47" t="s">
        <v>151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23</v>
      </c>
      <c r="B48">
        <f>IFERROR(_xlfn.XLOOKUP(A48,'Appendix A'!A:A,'Appendix A'!I:I),"")</f>
        <v>55.6</v>
      </c>
      <c r="C48" t="s">
        <v>142</v>
      </c>
      <c r="D48" t="s">
        <v>152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24</v>
      </c>
      <c r="B49">
        <f>IFERROR(_xlfn.XLOOKUP(A49,'Appendix A'!A:A,'Appendix A'!I:I),"")</f>
        <v>54.88</v>
      </c>
      <c r="C49" t="s">
        <v>143</v>
      </c>
      <c r="D49" t="s">
        <v>153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83</v>
      </c>
      <c r="B50">
        <f>IFERROR(_xlfn.XLOOKUP(A50,'Appendix A'!A:A,'Appendix A'!I:I),"")</f>
        <v>47.26</v>
      </c>
      <c r="C50" t="s">
        <v>144</v>
      </c>
      <c r="D50" t="s">
        <v>154</v>
      </c>
      <c r="E50" t="e" cm="1">
        <f t="array" ref="E50">_xll.ReadKSpice(_xlfn.CONCAT("/",$B$1,"/",$B$2,"/",D50,"@V_Unit=",F50))</f>
        <v>#N/A</v>
      </c>
      <c r="F50" t="s">
        <v>14</v>
      </c>
      <c r="G50" t="e">
        <f t="shared" si="2"/>
        <v>#N/A</v>
      </c>
    </row>
    <row r="51" spans="1:8" x14ac:dyDescent="0.3">
      <c r="A51" t="s">
        <v>70</v>
      </c>
      <c r="B51">
        <f>IFERROR(_xlfn.XLOOKUP(A51,'Appendix A'!A:A,'Appendix A'!I:I),"")</f>
        <v>6.78</v>
      </c>
      <c r="F51" t="s">
        <v>217</v>
      </c>
      <c r="G51" t="s">
        <v>202</v>
      </c>
    </row>
    <row r="52" spans="1:8" x14ac:dyDescent="0.3">
      <c r="A52" t="s">
        <v>64</v>
      </c>
      <c r="B52">
        <f>IFERROR(_xlfn.XLOOKUP(A52,'Appendix A'!A:A,'Appendix A'!I:I),"")</f>
        <v>11.95</v>
      </c>
      <c r="F52" t="s">
        <v>217</v>
      </c>
      <c r="G52" t="s">
        <v>202</v>
      </c>
      <c r="H52" t="s">
        <v>103</v>
      </c>
    </row>
    <row r="53" spans="1:8" x14ac:dyDescent="0.3">
      <c r="A53" t="s">
        <v>104</v>
      </c>
      <c r="B53">
        <f>B51+B52</f>
        <v>18.73</v>
      </c>
      <c r="C53" t="s">
        <v>145</v>
      </c>
      <c r="D53" t="s">
        <v>155</v>
      </c>
      <c r="E53" t="e" cm="1">
        <f t="array" ref="E53">_xll.ReadKSpice(_xlfn.CONCAT("/",$B$1,"/",$B$2,"/",D53,"@V_Unit=",F53))</f>
        <v>#N/A</v>
      </c>
      <c r="F53" t="s">
        <v>217</v>
      </c>
      <c r="G53" t="e">
        <f>100*(E53-B53)/B53</f>
        <v>#N/A</v>
      </c>
      <c r="H53" t="s">
        <v>241</v>
      </c>
    </row>
    <row r="54" spans="1:8" x14ac:dyDescent="0.3">
      <c r="G54" t="s">
        <v>202</v>
      </c>
    </row>
    <row r="55" spans="1:8" x14ac:dyDescent="0.3">
      <c r="A55" s="6" t="s">
        <v>97</v>
      </c>
      <c r="C55" s="7"/>
      <c r="D55" s="7"/>
      <c r="E55" s="7"/>
      <c r="F55" s="7"/>
      <c r="G55" s="7" t="s">
        <v>202</v>
      </c>
      <c r="H55" s="7"/>
    </row>
    <row r="56" spans="1:8" x14ac:dyDescent="0.3">
      <c r="A56" t="s">
        <v>59</v>
      </c>
      <c r="B56">
        <f>IFERROR(_xlfn.XLOOKUP(A56,'Appendix A'!A:A,'Appendix A'!I:I),"")</f>
        <v>241.74</v>
      </c>
      <c r="C56" t="s">
        <v>156</v>
      </c>
      <c r="D56" t="s">
        <v>157</v>
      </c>
      <c r="E56" t="e" cm="1">
        <f t="array" ref="E56">_xll.ReadKSpice(_xlfn.CONCAT("/",$B$1,"/",$B$2,"/",D56,"@V_Unit=",F56))</f>
        <v>#N/A</v>
      </c>
      <c r="F56" t="s">
        <v>33</v>
      </c>
      <c r="G56" t="e">
        <f>100*(E56-B56)/B56</f>
        <v>#N/A</v>
      </c>
    </row>
    <row r="57" spans="1:8" x14ac:dyDescent="0.3">
      <c r="A57" t="s">
        <v>74</v>
      </c>
      <c r="B57">
        <f>IFERROR(_xlfn.XLOOKUP(A57,'Appendix A'!A:A,'Appendix A'!I:I),"")</f>
        <v>39.159999999999997</v>
      </c>
      <c r="F57" t="s">
        <v>14</v>
      </c>
      <c r="G57" t="s">
        <v>202</v>
      </c>
      <c r="H57" t="s">
        <v>98</v>
      </c>
    </row>
    <row r="58" spans="1:8" x14ac:dyDescent="0.3">
      <c r="A58" t="s">
        <v>75</v>
      </c>
      <c r="B58">
        <f>IFERROR(_xlfn.XLOOKUP(A58,'Appendix A'!A:A,'Appendix A'!I:I),"")</f>
        <v>43.21</v>
      </c>
      <c r="C58" t="s">
        <v>158</v>
      </c>
      <c r="D58" t="s">
        <v>159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A59" t="s">
        <v>76</v>
      </c>
      <c r="B59">
        <f>IFERROR(_xlfn.XLOOKUP(A59,'Appendix A'!A:A,'Appendix A'!I:I),"")</f>
        <v>38.56</v>
      </c>
      <c r="C59" t="s">
        <v>161</v>
      </c>
      <c r="D59" t="s">
        <v>160</v>
      </c>
      <c r="E59" t="e" cm="1">
        <f t="array" ref="E59">_xll.ReadKSpice(_xlfn.CONCAT("/",$B$1,"/",$B$2,"/",D59,"@V_Unit=",F59))</f>
        <v>#N/A</v>
      </c>
      <c r="F59" t="s">
        <v>14</v>
      </c>
      <c r="G59" t="e">
        <f>100*(E59-B59)/B59</f>
        <v>#N/A</v>
      </c>
    </row>
    <row r="60" spans="1:8" x14ac:dyDescent="0.3">
      <c r="G60" t="s">
        <v>202</v>
      </c>
    </row>
    <row r="61" spans="1:8" x14ac:dyDescent="0.3">
      <c r="A61" s="6" t="s">
        <v>26</v>
      </c>
      <c r="C61" s="7"/>
      <c r="D61" s="7"/>
      <c r="E61" s="7"/>
      <c r="F61" s="7"/>
      <c r="G61" s="7" t="s">
        <v>202</v>
      </c>
      <c r="H61" s="7"/>
    </row>
    <row r="62" spans="1:8" x14ac:dyDescent="0.3">
      <c r="A62" t="s">
        <v>84</v>
      </c>
      <c r="B62">
        <f>IFERROR(_xlfn.XLOOKUP(A62,'Appendix A'!A:A,'Appendix A'!I:I),"")</f>
        <v>113.24</v>
      </c>
      <c r="C62" t="s">
        <v>162</v>
      </c>
      <c r="D62" t="s">
        <v>169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ref="G62:G69" si="3">100*(E62-B62)/B62</f>
        <v>#N/A</v>
      </c>
    </row>
    <row r="63" spans="1:8" x14ac:dyDescent="0.3">
      <c r="A63" t="s">
        <v>85</v>
      </c>
      <c r="B63">
        <f>IFERROR(_xlfn.XLOOKUP(A63,'Appendix A'!A:A,'Appendix A'!I:I),"")</f>
        <v>101.82</v>
      </c>
      <c r="C63" t="s">
        <v>163</v>
      </c>
      <c r="D63" t="s">
        <v>170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86</v>
      </c>
      <c r="B64">
        <f>IFERROR(_xlfn.XLOOKUP(A64,'Appendix A'!A:A,'Appendix A'!I:I),"")</f>
        <v>101.69</v>
      </c>
      <c r="C64" t="s">
        <v>164</v>
      </c>
      <c r="D64" t="s">
        <v>171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87</v>
      </c>
      <c r="B65">
        <f>IFERROR(_xlfn.XLOOKUP(A65,'Appendix A'!A:A,'Appendix A'!I:I),"")</f>
        <v>101.99</v>
      </c>
      <c r="C65" t="s">
        <v>165</v>
      </c>
      <c r="D65" t="s">
        <v>172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88</v>
      </c>
      <c r="B66">
        <f>IFERROR(_xlfn.XLOOKUP(A66,'Appendix A'!A:A,'Appendix A'!I:I),"")</f>
        <v>102.18</v>
      </c>
      <c r="C66" t="s">
        <v>166</v>
      </c>
      <c r="D66" t="s">
        <v>173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79</v>
      </c>
      <c r="B67">
        <f>IFERROR(_xlfn.XLOOKUP(A67,'Appendix A'!A:A,'Appendix A'!I:I),"")</f>
        <v>102.8</v>
      </c>
      <c r="C67" t="s">
        <v>227</v>
      </c>
      <c r="D67" t="s">
        <v>228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81</v>
      </c>
      <c r="B68">
        <f>IFERROR(_xlfn.XLOOKUP(A68,'Appendix A'!A:A,'Appendix A'!I:I),"")</f>
        <v>108.57</v>
      </c>
      <c r="C68" t="s">
        <v>167</v>
      </c>
      <c r="D68" t="s">
        <v>174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A69" t="s">
        <v>82</v>
      </c>
      <c r="B69">
        <f>IFERROR(_xlfn.XLOOKUP(A69,'Appendix A'!A:A,'Appendix A'!I:I),"")</f>
        <v>101.07</v>
      </c>
      <c r="C69" t="s">
        <v>168</v>
      </c>
      <c r="D69" t="s">
        <v>175</v>
      </c>
      <c r="E69" t="e" cm="1">
        <f t="array" ref="E69">_xll.ReadKSpice(_xlfn.CONCAT("/",$B$1,"/",$B$2,"/",D69,"@V_Unit=",F69))</f>
        <v>#N/A</v>
      </c>
      <c r="F69" t="s">
        <v>14</v>
      </c>
      <c r="G69" t="e">
        <f t="shared" si="3"/>
        <v>#N/A</v>
      </c>
    </row>
    <row r="70" spans="1:8" x14ac:dyDescent="0.3">
      <c r="G70" t="s">
        <v>202</v>
      </c>
    </row>
    <row r="71" spans="1:8" x14ac:dyDescent="0.3">
      <c r="A71" s="8" t="s">
        <v>27</v>
      </c>
      <c r="C71" s="7"/>
      <c r="D71" s="7"/>
      <c r="E71" s="7"/>
      <c r="F71" s="7"/>
      <c r="G71" s="7" t="s">
        <v>202</v>
      </c>
      <c r="H71" s="7"/>
    </row>
    <row r="72" spans="1:8" x14ac:dyDescent="0.3">
      <c r="A72" t="s">
        <v>60</v>
      </c>
      <c r="B72">
        <f>IFERROR(_xlfn.XLOOKUP(A72,'Appendix A'!A:A,'Appendix A'!I:I),"")</f>
        <v>3.49</v>
      </c>
      <c r="C72" t="s">
        <v>176</v>
      </c>
      <c r="D72" t="s">
        <v>181</v>
      </c>
      <c r="E72" t="e" cm="1">
        <f t="array" ref="E72">_xll.ReadKSpice(_xlfn.CONCAT("/",$B$1,"/",$B$2,"/",D72,"@V_Unit=",F72))</f>
        <v>#N/A</v>
      </c>
      <c r="F72" t="s">
        <v>33</v>
      </c>
      <c r="G72" t="e">
        <f t="shared" ref="G72:G77" si="4">100*(E72-B72)/B72</f>
        <v>#N/A</v>
      </c>
    </row>
    <row r="73" spans="1:8" x14ac:dyDescent="0.3">
      <c r="A73" t="s">
        <v>63</v>
      </c>
      <c r="B73">
        <f>IFERROR(_xlfn.XLOOKUP(A73,'Appendix A'!A:A,'Appendix A'!I:I),"")</f>
        <v>8.33</v>
      </c>
      <c r="C73" t="s">
        <v>177</v>
      </c>
      <c r="D73" t="s">
        <v>182</v>
      </c>
      <c r="E73" t="e" cm="1">
        <f t="array" ref="E73">_xll.ReadKSpice(_xlfn.CONCAT("/",$B$1,"/",$B$2,"/",D73,"@V_Unit=",F73))</f>
        <v>#N/A</v>
      </c>
      <c r="F73" t="s">
        <v>41</v>
      </c>
      <c r="G73" t="e">
        <f t="shared" si="4"/>
        <v>#N/A</v>
      </c>
    </row>
    <row r="74" spans="1:8" x14ac:dyDescent="0.3">
      <c r="A74" t="s">
        <v>65</v>
      </c>
      <c r="B74">
        <f>IFERROR(_xlfn.XLOOKUP(A74,'Appendix A'!A:A,'Appendix A'!I:I),"")</f>
        <v>54.39</v>
      </c>
      <c r="C74" t="s">
        <v>226</v>
      </c>
      <c r="D74" t="s">
        <v>225</v>
      </c>
      <c r="E74" t="e" cm="1">
        <f t="array" ref="E74">_xll.ReadKSpice(_xlfn.CONCAT("/",$B$1,"/",$B$2,"/",D74,"@V_Unit=",F74))</f>
        <v>#N/A</v>
      </c>
      <c r="F74" t="s">
        <v>217</v>
      </c>
      <c r="G74" t="e">
        <f t="shared" si="4"/>
        <v>#N/A</v>
      </c>
    </row>
    <row r="75" spans="1:8" x14ac:dyDescent="0.3">
      <c r="A75" t="s">
        <v>68</v>
      </c>
      <c r="B75">
        <f>IFERROR(_xlfn.XLOOKUP(A75,'Appendix A'!A:A,'Appendix A'!I:I),"")</f>
        <v>0.7</v>
      </c>
      <c r="C75" t="s">
        <v>178</v>
      </c>
      <c r="D75" t="s">
        <v>183</v>
      </c>
      <c r="E75" t="e" cm="1">
        <f t="array" ref="E75">_xll.ReadKSpice(_xlfn.CONCAT("/",$B$1,"/",$B$2,"/",D75,"@V_Unit=",F75))</f>
        <v>#N/A</v>
      </c>
      <c r="F75" t="s">
        <v>51</v>
      </c>
      <c r="G75" t="e">
        <f t="shared" si="4"/>
        <v>#N/A</v>
      </c>
    </row>
    <row r="76" spans="1:8" x14ac:dyDescent="0.3">
      <c r="A76" t="s">
        <v>80</v>
      </c>
      <c r="B76">
        <f>IFERROR(_xlfn.XLOOKUP(A76,'Appendix A'!A:A,'Appendix A'!I:I),"")</f>
        <v>19.07</v>
      </c>
      <c r="C76" t="s">
        <v>179</v>
      </c>
      <c r="D76" t="s">
        <v>184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A77" t="s">
        <v>206</v>
      </c>
      <c r="B77">
        <f>IFERROR(_xlfn.XLOOKUP(A77,'Appendix A'!A:A,'Appendix A'!I:I),"")</f>
        <v>113.85</v>
      </c>
      <c r="C77" t="s">
        <v>180</v>
      </c>
      <c r="D77" t="s">
        <v>185</v>
      </c>
      <c r="E77" t="e" cm="1">
        <f t="array" ref="E77">_xll.ReadKSpice(_xlfn.CONCAT("/",$B$1,"/",$B$2,"/",D77,"@V_Unit=",F77))</f>
        <v>#N/A</v>
      </c>
      <c r="F77" t="s">
        <v>14</v>
      </c>
      <c r="G77" t="e">
        <f t="shared" si="4"/>
        <v>#N/A</v>
      </c>
    </row>
    <row r="78" spans="1:8" x14ac:dyDescent="0.3">
      <c r="G78" t="s">
        <v>202</v>
      </c>
    </row>
    <row r="79" spans="1:8" x14ac:dyDescent="0.3">
      <c r="A79" s="6" t="s">
        <v>28</v>
      </c>
      <c r="C79" s="7"/>
      <c r="D79" s="7"/>
      <c r="E79" s="7"/>
      <c r="F79" s="7"/>
      <c r="G79" s="7" t="s">
        <v>202</v>
      </c>
      <c r="H79" s="7"/>
    </row>
    <row r="80" spans="1:8" x14ac:dyDescent="0.3">
      <c r="A80" t="s">
        <v>61</v>
      </c>
      <c r="B80">
        <f>IFERROR(_xlfn.XLOOKUP(A80,'Appendix A'!A:A,'Appendix A'!I:I),"")</f>
        <v>6.63</v>
      </c>
      <c r="C80" t="s">
        <v>186</v>
      </c>
      <c r="D80" t="s">
        <v>187</v>
      </c>
      <c r="E80" t="e" cm="1">
        <f t="array" ref="E80">_xll.ReadKSpice(_xlfn.CONCAT("/",$B$1,"/",$B$2,"/",D80,"@V_Unit=",F80))</f>
        <v>#N/A</v>
      </c>
      <c r="F80" t="s">
        <v>33</v>
      </c>
      <c r="G80" t="e">
        <f>100*(E80-B80)/B80</f>
        <v>#N/A</v>
      </c>
    </row>
    <row r="81" spans="1:8" x14ac:dyDescent="0.3">
      <c r="A81" t="s">
        <v>69</v>
      </c>
      <c r="B81">
        <f>IFERROR(_xlfn.XLOOKUP(A81,'Appendix A'!A:A,'Appendix A'!I:I),"")</f>
        <v>0.68</v>
      </c>
      <c r="C81" t="s">
        <v>223</v>
      </c>
      <c r="D81" t="s">
        <v>224</v>
      </c>
      <c r="E81" t="e" cm="1">
        <f t="array" ref="E81">_xll.ReadKSpice(_xlfn.CONCAT("/",$B$1,"/",$B$2,"/",D81,"@V_Unit=",F81))</f>
        <v>#N/A</v>
      </c>
      <c r="F81" t="s">
        <v>51</v>
      </c>
      <c r="G81" t="e">
        <f>100*(E81-B81)/B81</f>
        <v>#N/A</v>
      </c>
    </row>
    <row r="82" spans="1:8" x14ac:dyDescent="0.3">
      <c r="G82" t="s">
        <v>202</v>
      </c>
    </row>
    <row r="83" spans="1:8" x14ac:dyDescent="0.3">
      <c r="A83" s="6" t="s">
        <v>99</v>
      </c>
      <c r="B83" t="str">
        <f>IFERROR(_xlfn.XLOOKUP(A83,'Appendix A'!A:A,'Appendix A'!D:D),"")</f>
        <v/>
      </c>
      <c r="C83" s="7"/>
      <c r="D83" s="7"/>
      <c r="E83" s="7"/>
      <c r="F83" s="7"/>
      <c r="G83" s="7" t="s">
        <v>202</v>
      </c>
      <c r="H83" s="7"/>
    </row>
    <row r="84" spans="1:8" x14ac:dyDescent="0.3">
      <c r="A84" t="s">
        <v>92</v>
      </c>
      <c r="B84">
        <f>IFERROR(_xlfn.XLOOKUP(A84,'Appendix A'!A:A,'Appendix A'!I:I),"")</f>
        <v>41.48</v>
      </c>
      <c r="C84" t="s">
        <v>188</v>
      </c>
      <c r="D84" t="s">
        <v>191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</row>
    <row r="85" spans="1:8" x14ac:dyDescent="0.3">
      <c r="A85" t="s">
        <v>135</v>
      </c>
      <c r="B85" t="str">
        <f>IFERROR(_xlfn.XLOOKUP(A85,'Appendix A'!A:A,'Appendix A'!I:I),"")</f>
        <v/>
      </c>
      <c r="C85" t="s">
        <v>189</v>
      </c>
      <c r="D85" t="s">
        <v>192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  <c r="H85" t="s">
        <v>136</v>
      </c>
    </row>
    <row r="86" spans="1:8" x14ac:dyDescent="0.3">
      <c r="A86" t="s">
        <v>78</v>
      </c>
      <c r="B86">
        <f>IFERROR(_xlfn.XLOOKUP(A86,'Appendix A'!A:A,'Appendix A'!I:I),"")</f>
        <v>105.44</v>
      </c>
      <c r="C86" t="s">
        <v>190</v>
      </c>
      <c r="D86" t="s">
        <v>193</v>
      </c>
      <c r="E86" t="e" cm="1">
        <f t="array" ref="E86">_xll.ReadKSpice(_xlfn.CONCAT("/",$B$1,"/",$B$2,"/",D86,"@V_Unit=",F86))</f>
        <v>#N/A</v>
      </c>
      <c r="F86" t="s">
        <v>14</v>
      </c>
      <c r="G86" t="e">
        <f>100*(E86-B86)/B86</f>
        <v>#N/A</v>
      </c>
    </row>
    <row r="87" spans="1:8" x14ac:dyDescent="0.3">
      <c r="G87" t="s">
        <v>202</v>
      </c>
    </row>
    <row r="88" spans="1:8" x14ac:dyDescent="0.3">
      <c r="A88" s="6" t="s">
        <v>100</v>
      </c>
      <c r="C88" s="7"/>
      <c r="D88" s="7"/>
      <c r="E88" s="7"/>
      <c r="F88" s="7"/>
      <c r="G88" s="7" t="s">
        <v>202</v>
      </c>
      <c r="H88" s="7"/>
    </row>
    <row r="89" spans="1:8" x14ac:dyDescent="0.3">
      <c r="A89" t="s">
        <v>89</v>
      </c>
      <c r="B89">
        <f>IFERROR(_xlfn.XLOOKUP(A89,'Appendix A'!A:A,'Appendix A'!I:I),"")</f>
        <v>30.6</v>
      </c>
      <c r="C89" t="s">
        <v>194</v>
      </c>
      <c r="D89" t="s">
        <v>196</v>
      </c>
      <c r="E89" t="e" cm="1">
        <f t="array" ref="E89">_xll.ReadKSpice(_xlfn.CONCAT("/",$B$1,"/",$B$2,"/",D89,"@V_Unit=",F89))</f>
        <v>#N/A</v>
      </c>
      <c r="F89" t="s">
        <v>14</v>
      </c>
      <c r="G89" t="e">
        <f>100*(E89-B89)/B89</f>
        <v>#N/A</v>
      </c>
      <c r="H89" s="3"/>
    </row>
    <row r="90" spans="1:8" x14ac:dyDescent="0.3">
      <c r="G90" t="s">
        <v>202</v>
      </c>
    </row>
    <row r="91" spans="1:8" x14ac:dyDescent="0.3">
      <c r="A91" s="6" t="s">
        <v>101</v>
      </c>
      <c r="C91" s="7"/>
      <c r="D91" s="7"/>
      <c r="E91" s="7"/>
      <c r="F91" s="7"/>
      <c r="G91" s="7" t="s">
        <v>202</v>
      </c>
      <c r="H91" s="7"/>
    </row>
    <row r="92" spans="1:8" x14ac:dyDescent="0.3">
      <c r="A92" t="s">
        <v>90</v>
      </c>
      <c r="B92">
        <f>IFERROR(_xlfn.XLOOKUP(A92,'Appendix A'!A:A,'Appendix A'!I:I),"")</f>
        <v>22.26</v>
      </c>
      <c r="C92" t="s">
        <v>195</v>
      </c>
      <c r="D92" t="s">
        <v>197</v>
      </c>
      <c r="E92" t="e" cm="1">
        <f t="array" ref="E92">_xll.ReadKSpice(_xlfn.CONCAT("/",$B$1,"/",$B$2,"/",D92,"@V_Unit=",F92))</f>
        <v>#N/A</v>
      </c>
      <c r="F92" t="s">
        <v>14</v>
      </c>
      <c r="G92" t="e">
        <f>100*(E92-B92)/B92</f>
        <v>#N/A</v>
      </c>
    </row>
    <row r="93" spans="1:8" x14ac:dyDescent="0.3">
      <c r="G93" t="s">
        <v>202</v>
      </c>
    </row>
    <row r="94" spans="1:8" x14ac:dyDescent="0.3">
      <c r="A94" s="6" t="s">
        <v>102</v>
      </c>
      <c r="C94" s="7"/>
      <c r="D94" s="7"/>
      <c r="E94" s="7"/>
      <c r="F94" s="7"/>
      <c r="G94" s="7" t="s">
        <v>202</v>
      </c>
      <c r="H94" s="7"/>
    </row>
    <row r="95" spans="1:8" x14ac:dyDescent="0.3">
      <c r="A95" t="s">
        <v>62</v>
      </c>
      <c r="B95">
        <f>IFERROR(_xlfn.XLOOKUP(A95,'Appendix A'!A:A,'Appendix A'!I:I),"")</f>
        <v>228.23</v>
      </c>
      <c r="E95" t="e" cm="1">
        <f t="array" ref="E95">_xll.ReadKSpice(_xlfn.CONCAT("/",$B$1,"/",$B$2,"/",D95,"@V_Unit=",F95))</f>
        <v>#N/A</v>
      </c>
      <c r="F95" t="s">
        <v>33</v>
      </c>
      <c r="G95" t="e">
        <f>100*(E95-B95)/B95</f>
        <v>#N/A</v>
      </c>
    </row>
    <row r="96" spans="1:8" s="3" customFormat="1" x14ac:dyDescent="0.3">
      <c r="A96" t="s">
        <v>71</v>
      </c>
      <c r="B96">
        <f>IFERROR(_xlfn.XLOOKUP(A96,'Appendix A'!A:A,'Appendix A'!I:I),"")</f>
        <v>1.071</v>
      </c>
      <c r="C96"/>
      <c r="D96"/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7" x14ac:dyDescent="0.3">
      <c r="A97" t="s">
        <v>72</v>
      </c>
      <c r="B97">
        <f>IFERROR(_xlfn.XLOOKUP(A97,'Appendix A'!A:A,'Appendix A'!I:I),"")</f>
        <v>1.0960000000000001</v>
      </c>
      <c r="E97" t="e" cm="1">
        <f t="array" ref="E97">_xll.ReadKSpice(_xlfn.CONCAT("/",$B$1,"/",$B$2,"/",D97,"@V_Unit=",F97))</f>
        <v>#N/A</v>
      </c>
      <c r="F97" t="s">
        <v>95</v>
      </c>
      <c r="G97" t="e">
        <f>100*(E97-B97)/B97</f>
        <v>#N/A</v>
      </c>
    </row>
    <row r="98" spans="1:7" x14ac:dyDescent="0.3">
      <c r="A98" t="s">
        <v>77</v>
      </c>
      <c r="B98">
        <f>IFERROR(_xlfn.XLOOKUP(A98,'Appendix A'!A:A,'Appendix A'!I:I),"")</f>
        <v>36.46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7" x14ac:dyDescent="0.3">
      <c r="A99" t="s">
        <v>91</v>
      </c>
      <c r="B99">
        <f>IFERROR(_xlfn.XLOOKUP(A99,'Appendix A'!A:A,'Appendix A'!I:I),"")</f>
        <v>37.090000000000003</v>
      </c>
      <c r="E99" t="e" cm="1">
        <f t="array" ref="E99">_xll.ReadKSpice(_xlfn.CONCAT("/",$B$1,"/",$B$2,"/",D99,"@V_Unit=",F99))</f>
        <v>#N/A</v>
      </c>
      <c r="F99" t="s">
        <v>14</v>
      </c>
      <c r="G99" t="e">
        <f>100*(E99-B99)/B99</f>
        <v>#N/A</v>
      </c>
    </row>
    <row r="100" spans="1:7" x14ac:dyDescent="0.3">
      <c r="B100" s="9"/>
    </row>
    <row r="121" spans="1:4" x14ac:dyDescent="0.3">
      <c r="A121" s="3"/>
    </row>
    <row r="122" spans="1:4" x14ac:dyDescent="0.3">
      <c r="C122" s="10"/>
      <c r="D122" s="10"/>
    </row>
    <row r="126" spans="1:4" x14ac:dyDescent="0.3">
      <c r="A126" s="3"/>
    </row>
    <row r="132" spans="1:4" x14ac:dyDescent="0.3">
      <c r="A132" s="1"/>
      <c r="C132" s="1"/>
      <c r="D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  <row r="139" spans="1:4" x14ac:dyDescent="0.3">
      <c r="A139" s="1"/>
    </row>
  </sheetData>
  <conditionalFormatting sqref="G13:G99">
    <cfRule type="expression" dxfId="5" priority="1">
      <formula>ABS(G13)&gt;10</formula>
    </cfRule>
    <cfRule type="expression" dxfId="4" priority="2">
      <formula>AND(ABS(G13)&gt;=5,ABS(G13)&lt;10)</formula>
    </cfRule>
    <cfRule type="expression" dxfId="3" priority="3">
      <formula>ABS(G13)&lt;5</formula>
    </cfRule>
  </conditionalFormatting>
  <pageMargins left="0.7" right="0.7" top="0.75" bottom="0.75" header="0.3" footer="0.3"/>
  <headerFooter>
    <oddFooter>&amp;C_x000D_&amp;1#&amp;"Aptos"&amp;14&amp;K000000 KDI LIMITED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9564-BB5B-4CDD-ADDD-976F322F1BC1}">
  <dimension ref="A1:J139"/>
  <sheetViews>
    <sheetView tabSelected="1" zoomScale="55" zoomScaleNormal="55" workbookViewId="0">
      <selection activeCell="Q56" sqref="Q56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8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A'!J:J),"")</f>
        <v>118.57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4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A'!J:J),"")</f>
        <v>239.09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67</v>
      </c>
      <c r="B15">
        <f>IFERROR(_xlfn.XLOOKUP(A15,'Appendix A'!A:A,'Appendix A'!J:J),"")</f>
        <v>1014.5</v>
      </c>
      <c r="C15" t="s">
        <v>238</v>
      </c>
      <c r="D15" t="s">
        <v>235</v>
      </c>
      <c r="E15" t="e" cm="1">
        <f t="array" ref="E15">_xll.ReadKSpice(_xlfn.CONCAT("/",$B$1,"/",$B$2,"/",D15,"@V_Unit=",F15))</f>
        <v>#N/A</v>
      </c>
      <c r="F15" t="s">
        <v>218</v>
      </c>
      <c r="G15" t="e">
        <f t="shared" si="0"/>
        <v>#N/A</v>
      </c>
      <c r="H15" t="s">
        <v>239</v>
      </c>
    </row>
    <row r="16" spans="1:10" x14ac:dyDescent="0.3">
      <c r="A16" t="s">
        <v>25</v>
      </c>
      <c r="B16">
        <f>IFERROR(_xlfn.XLOOKUP(A16,'Appendix A'!A:A,'Appendix A'!J:J),"")</f>
        <v>40.9</v>
      </c>
      <c r="C16" t="s">
        <v>107</v>
      </c>
      <c r="D16" t="s">
        <v>113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37</v>
      </c>
    </row>
    <row r="17" spans="1:8" x14ac:dyDescent="0.3">
      <c r="A17" t="s">
        <v>25</v>
      </c>
      <c r="B17">
        <f>IFERROR(_xlfn.XLOOKUP(A17,'Appendix A'!A:A,'Appendix A'!J:J),"")</f>
        <v>40.9</v>
      </c>
      <c r="C17" t="s">
        <v>38</v>
      </c>
      <c r="D17" t="s">
        <v>220</v>
      </c>
      <c r="E17" t="e" cm="1">
        <f t="array" ref="E17">_xll.ReadKSpice(_xlfn.CONCAT("/",$B$1,"/",$B$2,"/",D17,"@V_Unit=",F17))</f>
        <v>#N/A</v>
      </c>
      <c r="F17" t="s">
        <v>14</v>
      </c>
      <c r="G17" t="e">
        <f t="shared" si="0"/>
        <v>#N/A</v>
      </c>
      <c r="H17" t="s">
        <v>108</v>
      </c>
    </row>
    <row r="18" spans="1:8" x14ac:dyDescent="0.3">
      <c r="A18" t="s">
        <v>63</v>
      </c>
      <c r="B18">
        <f>IFERROR(_xlfn.XLOOKUP(A18,'Appendix A'!A:A,'Appendix A'!J:J),"")</f>
        <v>8.26</v>
      </c>
      <c r="C18" t="s">
        <v>40</v>
      </c>
      <c r="D18" t="s">
        <v>219</v>
      </c>
      <c r="E18" t="e" cm="1">
        <f t="array" ref="E18">_xll.ReadKSpice(_xlfn.CONCAT("/",$B$1,"/",$B$2,"/",D18,"@V_Unit=",F18))</f>
        <v>#N/A</v>
      </c>
      <c r="F18" t="s">
        <v>41</v>
      </c>
      <c r="G18" t="e">
        <f t="shared" si="0"/>
        <v>#N/A</v>
      </c>
      <c r="H18" t="s">
        <v>39</v>
      </c>
    </row>
    <row r="19" spans="1:8" x14ac:dyDescent="0.3">
      <c r="A19" t="s">
        <v>16</v>
      </c>
      <c r="B19">
        <f>IFERROR(_xlfn.XLOOKUP(A19,'Appendix A'!A:A,'Appendix A'!J:J),"")</f>
        <v>36.57</v>
      </c>
      <c r="C19" t="s">
        <v>231</v>
      </c>
      <c r="D19" t="s">
        <v>232</v>
      </c>
      <c r="E19" t="e" cm="1">
        <f t="array" ref="E19">_xll.ReadKSpice(_xlfn.CONCAT("/",$B$1,"/",$B$2,"/",D19,"@V_Unit=",F19))</f>
        <v>#N/A</v>
      </c>
      <c r="F19" t="s">
        <v>14</v>
      </c>
      <c r="G19" t="e">
        <f t="shared" si="0"/>
        <v>#N/A</v>
      </c>
      <c r="H19" t="s">
        <v>42</v>
      </c>
    </row>
    <row r="20" spans="1:8" x14ac:dyDescent="0.3">
      <c r="B20">
        <f>IFERROR(_xlfn.XLOOKUP(A20,'Appendix A'!A:A,'Appendix A'!J:J),"")</f>
        <v>0</v>
      </c>
      <c r="C20" t="s">
        <v>105</v>
      </c>
      <c r="D20" t="s">
        <v>114</v>
      </c>
      <c r="E20" t="e" cm="1">
        <f t="array" ref="E20">_xll.ReadKSpice(_xlfn.CONCAT("/",$B$1,"/",$B$2,"/",D20,"@V_Unit=",F20))</f>
        <v>#N/A</v>
      </c>
      <c r="F20" t="s">
        <v>43</v>
      </c>
      <c r="G20" t="e">
        <f t="shared" si="0"/>
        <v>#N/A</v>
      </c>
      <c r="H20" t="s">
        <v>44</v>
      </c>
    </row>
    <row r="21" spans="1:8" x14ac:dyDescent="0.3">
      <c r="A21" t="s">
        <v>47</v>
      </c>
      <c r="B21">
        <f>IFERROR(_xlfn.XLOOKUP(A21,'Appendix A'!A:A,'Appendix A'!J:J),"")</f>
        <v>1001.61</v>
      </c>
      <c r="C21" t="s">
        <v>46</v>
      </c>
      <c r="D21" t="s">
        <v>115</v>
      </c>
      <c r="E21" t="e" cm="1">
        <f t="array" ref="E21">_xll.ReadKSpice(_xlfn.CONCAT("/",$B$1,"/",$B$2,"/",D21,"@V_Unit=",F21))</f>
        <v>#N/A</v>
      </c>
      <c r="F21" t="s">
        <v>218</v>
      </c>
      <c r="G21" t="e">
        <f t="shared" si="0"/>
        <v>#N/A</v>
      </c>
      <c r="H21" t="s">
        <v>45</v>
      </c>
    </row>
    <row r="22" spans="1:8" x14ac:dyDescent="0.3">
      <c r="A22" t="s">
        <v>68</v>
      </c>
      <c r="B22">
        <f>IFERROR(_xlfn.XLOOKUP(A22,'Appendix A'!A:A,'Appendix A'!J:J),"")</f>
        <v>0.7</v>
      </c>
      <c r="C22" t="s">
        <v>49</v>
      </c>
      <c r="D22" t="s">
        <v>116</v>
      </c>
      <c r="E22" t="e" cm="1">
        <f t="array" ref="E22">_xll.ReadKSpice(_xlfn.CONCAT("/",$B$1,"/",$B$2,"/",D22,"@V_Unit=",F22))</f>
        <v>#N/A</v>
      </c>
      <c r="F22" t="s">
        <v>51</v>
      </c>
      <c r="G22" t="e">
        <f t="shared" si="0"/>
        <v>#N/A</v>
      </c>
      <c r="H22" t="s">
        <v>48</v>
      </c>
    </row>
    <row r="23" spans="1:8" x14ac:dyDescent="0.3">
      <c r="A23" t="s">
        <v>89</v>
      </c>
      <c r="B23">
        <f>IFERROR(_xlfn.XLOOKUP(A23,'Appendix A'!A:A,'Appendix A'!J:J),"")</f>
        <v>30.63</v>
      </c>
      <c r="C23" t="s">
        <v>53</v>
      </c>
      <c r="D23" t="s">
        <v>117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52</v>
      </c>
    </row>
    <row r="24" spans="1:8" x14ac:dyDescent="0.3">
      <c r="A24" t="s">
        <v>90</v>
      </c>
      <c r="B24">
        <f>IFERROR(_xlfn.XLOOKUP(A24,'Appendix A'!A:A,'Appendix A'!J:J),"")</f>
        <v>18.940000000000001</v>
      </c>
      <c r="C24" t="s">
        <v>55</v>
      </c>
      <c r="D24" t="s">
        <v>118</v>
      </c>
      <c r="E24" t="e" cm="1">
        <f t="array" ref="E24">_xll.ReadKSpice(_xlfn.CONCAT("/",$B$1,"/",$B$2,"/",D24,"@V_Unit=",F24))</f>
        <v>#N/A</v>
      </c>
      <c r="F24" t="s">
        <v>14</v>
      </c>
      <c r="G24" t="e">
        <f t="shared" si="0"/>
        <v>#N/A</v>
      </c>
      <c r="H24" t="s">
        <v>54</v>
      </c>
    </row>
    <row r="25" spans="1:8" x14ac:dyDescent="0.3">
      <c r="G25" t="s">
        <v>202</v>
      </c>
    </row>
    <row r="26" spans="1:8" x14ac:dyDescent="0.3">
      <c r="A26" s="6" t="s">
        <v>10</v>
      </c>
      <c r="C26" s="7"/>
      <c r="D26" s="7"/>
      <c r="E26" s="7"/>
      <c r="F26" s="7"/>
      <c r="G26" s="7" t="s">
        <v>202</v>
      </c>
      <c r="H26" s="7"/>
    </row>
    <row r="27" spans="1:8" x14ac:dyDescent="0.3">
      <c r="A27" t="s">
        <v>11</v>
      </c>
      <c r="B27">
        <f>IFERROR(_xlfn.XLOOKUP(A27,'Appendix A'!A:A,'Appendix A'!J:J),"")</f>
        <v>118.57</v>
      </c>
      <c r="C27" t="s">
        <v>12</v>
      </c>
      <c r="D27" t="s">
        <v>119</v>
      </c>
      <c r="E27" t="e" cm="1">
        <f t="array" ref="E27">_xll.ReadKSpice(_xlfn.CONCAT("/",$B$1,"/",$B$2,"/",D27,"@V_Unit=",F27))</f>
        <v>#N/A</v>
      </c>
      <c r="F27" t="s">
        <v>31</v>
      </c>
      <c r="G27" t="e">
        <f t="shared" ref="G27:G32" si="1">100*(E27-B27)/B27</f>
        <v>#N/A</v>
      </c>
    </row>
    <row r="28" spans="1:8" x14ac:dyDescent="0.3">
      <c r="A28" t="s">
        <v>67</v>
      </c>
      <c r="B28">
        <f>IFERROR(_xlfn.XLOOKUP(A28,'Appendix A'!A:A,'Appendix A'!J:J),"")</f>
        <v>1014.5</v>
      </c>
      <c r="C28" t="s">
        <v>236</v>
      </c>
      <c r="D28" t="s">
        <v>237</v>
      </c>
      <c r="E28" t="e" cm="1">
        <f t="array" ref="E28">_xll.ReadKSpice(_xlfn.CONCAT("/",$B$1,"/",$B$2,"/",D28,"@V_Unit=",F28))</f>
        <v>#N/A</v>
      </c>
      <c r="F28" t="s">
        <v>218</v>
      </c>
      <c r="G28" t="e">
        <f t="shared" si="1"/>
        <v>#N/A</v>
      </c>
    </row>
    <row r="29" spans="1:8" x14ac:dyDescent="0.3">
      <c r="A29" t="s">
        <v>13</v>
      </c>
      <c r="B29">
        <f>IFERROR(_xlfn.XLOOKUP(A29,'Appendix A'!A:A,'Appendix A'!J:J),"")</f>
        <v>37.869999999999997</v>
      </c>
      <c r="C29" t="s">
        <v>233</v>
      </c>
      <c r="D29" t="s">
        <v>234</v>
      </c>
      <c r="E29" t="e" cm="1">
        <f t="array" ref="E29">_xll.ReadKSpice(_xlfn.CONCAT("/",$B$1,"/",$B$2,"/",D29,"@V_Unit=",F29))</f>
        <v>#N/A</v>
      </c>
      <c r="F29" t="s">
        <v>14</v>
      </c>
      <c r="G29" t="e">
        <f t="shared" si="1"/>
        <v>#N/A</v>
      </c>
    </row>
    <row r="30" spans="1:8" x14ac:dyDescent="0.3">
      <c r="A30" t="s">
        <v>58</v>
      </c>
      <c r="B30">
        <f>IFERROR(_xlfn.XLOOKUP(A30,'Appendix A'!A:A,'Appendix A'!J:J),"")</f>
        <v>239.09</v>
      </c>
      <c r="C30" t="s">
        <v>120</v>
      </c>
      <c r="D30" t="s">
        <v>121</v>
      </c>
      <c r="E30" t="e" cm="1">
        <f t="array" ref="E30">_xll.ReadKSpice(_xlfn.CONCAT("/",$B$1,"/",$B$2,"/",D30,"@V_Unit=",F30))</f>
        <v>#N/A</v>
      </c>
      <c r="F30" t="s">
        <v>33</v>
      </c>
      <c r="G30" t="e">
        <f t="shared" si="1"/>
        <v>#N/A</v>
      </c>
    </row>
    <row r="31" spans="1:8" x14ac:dyDescent="0.3">
      <c r="A31" t="s">
        <v>25</v>
      </c>
      <c r="B31">
        <f>IFERROR(_xlfn.XLOOKUP(A31,'Appendix A'!A:A,'Appendix A'!J:J),"")</f>
        <v>40.9</v>
      </c>
      <c r="C31" t="s">
        <v>109</v>
      </c>
      <c r="D31" t="s">
        <v>110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37</v>
      </c>
    </row>
    <row r="32" spans="1:8" x14ac:dyDescent="0.3">
      <c r="A32" t="s">
        <v>25</v>
      </c>
      <c r="B32">
        <f>IFERROR(_xlfn.XLOOKUP(A32,'Appendix A'!A:A,'Appendix A'!J:J),"")</f>
        <v>40.9</v>
      </c>
      <c r="C32" t="s">
        <v>221</v>
      </c>
      <c r="D32" t="s">
        <v>222</v>
      </c>
      <c r="E32" t="e" cm="1">
        <f t="array" ref="E32">_xll.ReadKSpice(_xlfn.CONCAT("/",$B$1,"/",$B$2,"/",D32,"@V_Unit=",F32))</f>
        <v>#N/A</v>
      </c>
      <c r="F32" t="s">
        <v>14</v>
      </c>
      <c r="G32" t="e">
        <f t="shared" si="1"/>
        <v>#N/A</v>
      </c>
      <c r="H32" t="s">
        <v>108</v>
      </c>
    </row>
    <row r="33" spans="1:8" x14ac:dyDescent="0.3">
      <c r="G33" t="s">
        <v>202</v>
      </c>
    </row>
    <row r="34" spans="1:8" x14ac:dyDescent="0.3">
      <c r="A34" s="6" t="s">
        <v>15</v>
      </c>
      <c r="C34" s="7"/>
      <c r="D34" s="7"/>
      <c r="E34" s="7"/>
      <c r="F34" s="7"/>
      <c r="G34" s="7" t="s">
        <v>202</v>
      </c>
      <c r="H34" s="7"/>
    </row>
    <row r="35" spans="1:8" x14ac:dyDescent="0.3">
      <c r="A35" t="s">
        <v>56</v>
      </c>
      <c r="B35">
        <f>IFERROR(_xlfn.XLOOKUP(A35,'Appendix A'!A:A,'Appendix A'!J:J),"")</f>
        <v>1.55</v>
      </c>
      <c r="C35" t="s">
        <v>122</v>
      </c>
      <c r="D35" t="s">
        <v>123</v>
      </c>
      <c r="E35" t="e" cm="1">
        <f t="array" ref="E35">_xll.ReadKSpice(_xlfn.CONCAT("/",$B$1,"/",$B$2,"/",D35,"@V_Unit=",F35))</f>
        <v>#N/A</v>
      </c>
      <c r="F35" t="s">
        <v>229</v>
      </c>
      <c r="G35" t="e">
        <f>100*(E35-B35)/B35</f>
        <v>#N/A</v>
      </c>
      <c r="H35" t="s">
        <v>96</v>
      </c>
    </row>
    <row r="36" spans="1:8" x14ac:dyDescent="0.3">
      <c r="A36" t="s">
        <v>124</v>
      </c>
      <c r="B36" t="str">
        <f>IFERROR(_xlfn.XLOOKUP(A36,'Appendix A'!A:A,'Appendix A'!D:D),"")</f>
        <v/>
      </c>
      <c r="C36" t="s">
        <v>128</v>
      </c>
      <c r="D36" t="s">
        <v>129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126</v>
      </c>
    </row>
    <row r="37" spans="1:8" x14ac:dyDescent="0.3">
      <c r="A37" t="s">
        <v>125</v>
      </c>
      <c r="B37" t="str">
        <f>IFERROR(_xlfn.XLOOKUP(A37,'Appendix A'!A:A,'Appendix A'!D:D),"")</f>
        <v/>
      </c>
      <c r="C37" t="s">
        <v>128</v>
      </c>
      <c r="D37" t="s">
        <v>130</v>
      </c>
      <c r="E37" t="e" cm="1">
        <f t="array" ref="E37">_xll.ReadKSpice(_xlfn.CONCAT("/",$B$1,"/",$B$2,"/",D37,"@V_Unit=",F37))</f>
        <v>#N/A</v>
      </c>
      <c r="F37" t="s">
        <v>229</v>
      </c>
      <c r="G37" t="s">
        <v>202</v>
      </c>
      <c r="H37" t="s">
        <v>127</v>
      </c>
    </row>
    <row r="38" spans="1:8" x14ac:dyDescent="0.3">
      <c r="A38" t="s">
        <v>57</v>
      </c>
      <c r="B38">
        <f>IFERROR(_xlfn.XLOOKUP(A38,'Appendix A'!A:A,'Appendix A'!J:J),"")</f>
        <v>0</v>
      </c>
      <c r="C38" t="s">
        <v>128</v>
      </c>
      <c r="E38" t="e">
        <f>E37+E36</f>
        <v>#N/A</v>
      </c>
      <c r="F38" t="s">
        <v>229</v>
      </c>
      <c r="G38" t="e">
        <f>100*(E38-B38)/B38</f>
        <v>#N/A</v>
      </c>
      <c r="H38" t="s">
        <v>230</v>
      </c>
    </row>
    <row r="39" spans="1:8" x14ac:dyDescent="0.3">
      <c r="A39" t="s">
        <v>47</v>
      </c>
      <c r="B39">
        <f>IFERROR(_xlfn.XLOOKUP(A39,'Appendix A'!A:A,'Appendix A'!J:J),"")</f>
        <v>1001.61</v>
      </c>
      <c r="C39" t="s">
        <v>131</v>
      </c>
      <c r="D39" t="s">
        <v>133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ref="G39:G50" si="2">100*(E39-B39)/B39</f>
        <v>#N/A</v>
      </c>
    </row>
    <row r="40" spans="1:8" x14ac:dyDescent="0.3">
      <c r="A40" t="s">
        <v>66</v>
      </c>
      <c r="B40">
        <f>IFERROR(_xlfn.XLOOKUP(A40,'Appendix A'!A:A,'Appendix A'!J:J),"")</f>
        <v>1010.21</v>
      </c>
      <c r="C40" t="s">
        <v>132</v>
      </c>
      <c r="D40" t="s">
        <v>134</v>
      </c>
      <c r="E40" t="e" cm="1">
        <f t="array" ref="E40">_xll.ReadKSpice(_xlfn.CONCAT("/",$B$1,"/",$B$2,"/",D40,"@V_Unit=",F40))</f>
        <v>#N/A</v>
      </c>
      <c r="F40" t="s">
        <v>218</v>
      </c>
      <c r="G40" t="e">
        <f t="shared" si="2"/>
        <v>#N/A</v>
      </c>
    </row>
    <row r="41" spans="1:8" x14ac:dyDescent="0.3">
      <c r="A41" t="s">
        <v>16</v>
      </c>
      <c r="B41">
        <f>IFERROR(_xlfn.XLOOKUP(A41,'Appendix A'!A:A,'Appendix A'!J:J),"")</f>
        <v>36.57</v>
      </c>
      <c r="C41" t="s">
        <v>233</v>
      </c>
      <c r="D41" t="s">
        <v>234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  <c r="H41" t="s">
        <v>240</v>
      </c>
    </row>
    <row r="42" spans="1:8" x14ac:dyDescent="0.3">
      <c r="A42" t="s">
        <v>73</v>
      </c>
      <c r="B42">
        <f>IFERROR(_xlfn.XLOOKUP(A42,'Appendix A'!A:A,'Appendix A'!J:J),"")</f>
        <v>35.96</v>
      </c>
      <c r="C42" t="s">
        <v>137</v>
      </c>
      <c r="D42" t="s">
        <v>146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17</v>
      </c>
      <c r="B43">
        <f>IFERROR(_xlfn.XLOOKUP(A43,'Appendix A'!A:A,'Appendix A'!J:J),"")</f>
        <v>38.520000000000003</v>
      </c>
      <c r="C43" t="s">
        <v>18</v>
      </c>
      <c r="D43" t="s">
        <v>147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19</v>
      </c>
      <c r="B44">
        <f>IFERROR(_xlfn.XLOOKUP(A44,'Appendix A'!A:A,'Appendix A'!J:J),"")</f>
        <v>42.51</v>
      </c>
      <c r="C44" t="s">
        <v>138</v>
      </c>
      <c r="D44" t="s">
        <v>148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20</v>
      </c>
      <c r="B45">
        <f>IFERROR(_xlfn.XLOOKUP(A45,'Appendix A'!A:A,'Appendix A'!J:J),"")</f>
        <v>44.62</v>
      </c>
      <c r="C45" t="s">
        <v>139</v>
      </c>
      <c r="D45" t="s">
        <v>149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21</v>
      </c>
      <c r="B46">
        <f>IFERROR(_xlfn.XLOOKUP(A46,'Appendix A'!A:A,'Appendix A'!J:J),"")</f>
        <v>45.99</v>
      </c>
      <c r="C46" t="s">
        <v>140</v>
      </c>
      <c r="D46" t="s">
        <v>150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22</v>
      </c>
      <c r="B47">
        <f>IFERROR(_xlfn.XLOOKUP(A47,'Appendix A'!A:A,'Appendix A'!J:J),"")</f>
        <v>48.32</v>
      </c>
      <c r="C47" t="s">
        <v>141</v>
      </c>
      <c r="D47" t="s">
        <v>151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23</v>
      </c>
      <c r="B48">
        <f>IFERROR(_xlfn.XLOOKUP(A48,'Appendix A'!A:A,'Appendix A'!J:J),"")</f>
        <v>46.78</v>
      </c>
      <c r="C48" t="s">
        <v>142</v>
      </c>
      <c r="D48" t="s">
        <v>152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24</v>
      </c>
      <c r="B49">
        <f>IFERROR(_xlfn.XLOOKUP(A49,'Appendix A'!A:A,'Appendix A'!J:J),"")</f>
        <v>44.16</v>
      </c>
      <c r="C49" t="s">
        <v>143</v>
      </c>
      <c r="D49" t="s">
        <v>153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83</v>
      </c>
      <c r="B50">
        <f>IFERROR(_xlfn.XLOOKUP(A50,'Appendix A'!A:A,'Appendix A'!J:J),"")</f>
        <v>39.43</v>
      </c>
      <c r="C50" t="s">
        <v>144</v>
      </c>
      <c r="D50" t="s">
        <v>154</v>
      </c>
      <c r="E50" t="e" cm="1">
        <f t="array" ref="E50">_xll.ReadKSpice(_xlfn.CONCAT("/",$B$1,"/",$B$2,"/",D50,"@V_Unit=",F50))</f>
        <v>#N/A</v>
      </c>
      <c r="F50" t="s">
        <v>14</v>
      </c>
      <c r="G50" t="e">
        <f t="shared" si="2"/>
        <v>#N/A</v>
      </c>
    </row>
    <row r="51" spans="1:8" x14ac:dyDescent="0.3">
      <c r="A51" t="s">
        <v>70</v>
      </c>
      <c r="B51">
        <f>IFERROR(_xlfn.XLOOKUP(A51,'Appendix A'!A:A,'Appendix A'!J:J),"")</f>
        <v>5.67</v>
      </c>
      <c r="F51" t="s">
        <v>217</v>
      </c>
      <c r="G51" t="s">
        <v>202</v>
      </c>
    </row>
    <row r="52" spans="1:8" x14ac:dyDescent="0.3">
      <c r="A52" t="s">
        <v>64</v>
      </c>
      <c r="B52">
        <f>IFERROR(_xlfn.XLOOKUP(A52,'Appendix A'!A:A,'Appendix A'!J:J),"")</f>
        <v>11.95</v>
      </c>
      <c r="F52" t="s">
        <v>217</v>
      </c>
      <c r="G52" t="s">
        <v>202</v>
      </c>
      <c r="H52" t="s">
        <v>103</v>
      </c>
    </row>
    <row r="53" spans="1:8" x14ac:dyDescent="0.3">
      <c r="A53" t="s">
        <v>104</v>
      </c>
      <c r="B53">
        <f>B51+B52</f>
        <v>17.619999999999997</v>
      </c>
      <c r="C53" t="s">
        <v>145</v>
      </c>
      <c r="D53" t="s">
        <v>155</v>
      </c>
      <c r="E53" t="e" cm="1">
        <f t="array" ref="E53">_xll.ReadKSpice(_xlfn.CONCAT("/",$B$1,"/",$B$2,"/",D53,"@V_Unit=",F53))</f>
        <v>#N/A</v>
      </c>
      <c r="F53" t="s">
        <v>217</v>
      </c>
      <c r="G53" t="e">
        <f>100*(E53-B53)/B53</f>
        <v>#N/A</v>
      </c>
      <c r="H53" t="s">
        <v>241</v>
      </c>
    </row>
    <row r="54" spans="1:8" x14ac:dyDescent="0.3">
      <c r="G54" t="s">
        <v>202</v>
      </c>
    </row>
    <row r="55" spans="1:8" x14ac:dyDescent="0.3">
      <c r="A55" s="6" t="s">
        <v>97</v>
      </c>
      <c r="C55" s="7"/>
      <c r="D55" s="7"/>
      <c r="E55" s="7"/>
      <c r="F55" s="7"/>
      <c r="G55" s="7" t="s">
        <v>202</v>
      </c>
      <c r="H55" s="7"/>
    </row>
    <row r="56" spans="1:8" x14ac:dyDescent="0.3">
      <c r="A56" t="s">
        <v>59</v>
      </c>
      <c r="B56">
        <f>IFERROR(_xlfn.XLOOKUP(A56,'Appendix A'!A:A,'Appendix A'!J:J),"")</f>
        <v>240.34</v>
      </c>
      <c r="C56" t="s">
        <v>156</v>
      </c>
      <c r="D56" t="s">
        <v>157</v>
      </c>
      <c r="E56" t="e" cm="1">
        <f t="array" ref="E56">_xll.ReadKSpice(_xlfn.CONCAT("/",$B$1,"/",$B$2,"/",D56,"@V_Unit=",F56))</f>
        <v>#N/A</v>
      </c>
      <c r="F56" t="s">
        <v>33</v>
      </c>
      <c r="G56" t="e">
        <f>100*(E56-B56)/B56</f>
        <v>#N/A</v>
      </c>
    </row>
    <row r="57" spans="1:8" x14ac:dyDescent="0.3">
      <c r="A57" t="s">
        <v>74</v>
      </c>
      <c r="B57">
        <f>IFERROR(_xlfn.XLOOKUP(A57,'Appendix A'!A:A,'Appendix A'!J:J),"")</f>
        <v>36.01</v>
      </c>
      <c r="F57" t="s">
        <v>14</v>
      </c>
      <c r="G57" t="s">
        <v>202</v>
      </c>
      <c r="H57" t="s">
        <v>98</v>
      </c>
    </row>
    <row r="58" spans="1:8" x14ac:dyDescent="0.3">
      <c r="A58" t="s">
        <v>75</v>
      </c>
      <c r="B58">
        <f>IFERROR(_xlfn.XLOOKUP(A58,'Appendix A'!A:A,'Appendix A'!J:J),"")</f>
        <v>36.39</v>
      </c>
      <c r="C58" t="s">
        <v>158</v>
      </c>
      <c r="D58" t="s">
        <v>159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A59" t="s">
        <v>76</v>
      </c>
      <c r="B59">
        <f>IFERROR(_xlfn.XLOOKUP(A59,'Appendix A'!A:A,'Appendix A'!J:J),"")</f>
        <v>35.58</v>
      </c>
      <c r="C59" t="s">
        <v>161</v>
      </c>
      <c r="D59" t="s">
        <v>160</v>
      </c>
      <c r="E59" t="e" cm="1">
        <f t="array" ref="E59">_xll.ReadKSpice(_xlfn.CONCAT("/",$B$1,"/",$B$2,"/",D59,"@V_Unit=",F59))</f>
        <v>#N/A</v>
      </c>
      <c r="F59" t="s">
        <v>14</v>
      </c>
      <c r="G59" t="e">
        <f>100*(E59-B59)/B59</f>
        <v>#N/A</v>
      </c>
    </row>
    <row r="60" spans="1:8" x14ac:dyDescent="0.3">
      <c r="G60" t="s">
        <v>202</v>
      </c>
    </row>
    <row r="61" spans="1:8" x14ac:dyDescent="0.3">
      <c r="A61" s="6" t="s">
        <v>26</v>
      </c>
      <c r="C61" s="7"/>
      <c r="D61" s="7"/>
      <c r="E61" s="7"/>
      <c r="F61" s="7"/>
      <c r="G61" s="7" t="s">
        <v>202</v>
      </c>
      <c r="H61" s="7"/>
    </row>
    <row r="62" spans="1:8" x14ac:dyDescent="0.3">
      <c r="A62" t="s">
        <v>84</v>
      </c>
      <c r="B62">
        <f>IFERROR(_xlfn.XLOOKUP(A62,'Appendix A'!A:A,'Appendix A'!J:J),"")</f>
        <v>115.82</v>
      </c>
      <c r="C62" t="s">
        <v>162</v>
      </c>
      <c r="D62" t="s">
        <v>169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ref="G62:G69" si="3">100*(E62-B62)/B62</f>
        <v>#N/A</v>
      </c>
    </row>
    <row r="63" spans="1:8" x14ac:dyDescent="0.3">
      <c r="A63" t="s">
        <v>85</v>
      </c>
      <c r="B63">
        <f>IFERROR(_xlfn.XLOOKUP(A63,'Appendix A'!A:A,'Appendix A'!J:J),"")</f>
        <v>111.92</v>
      </c>
      <c r="C63" t="s">
        <v>163</v>
      </c>
      <c r="D63" t="s">
        <v>170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86</v>
      </c>
      <c r="B64">
        <f>IFERROR(_xlfn.XLOOKUP(A64,'Appendix A'!A:A,'Appendix A'!J:J),"")</f>
        <v>111.39</v>
      </c>
      <c r="C64" t="s">
        <v>164</v>
      </c>
      <c r="D64" t="s">
        <v>171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87</v>
      </c>
      <c r="B65">
        <f>IFERROR(_xlfn.XLOOKUP(A65,'Appendix A'!A:A,'Appendix A'!J:J),"")</f>
        <v>111.62</v>
      </c>
      <c r="C65" t="s">
        <v>165</v>
      </c>
      <c r="D65" t="s">
        <v>172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88</v>
      </c>
      <c r="B66">
        <f>IFERROR(_xlfn.XLOOKUP(A66,'Appendix A'!A:A,'Appendix A'!J:J),"")</f>
        <v>111.24</v>
      </c>
      <c r="C66" t="s">
        <v>166</v>
      </c>
      <c r="D66" t="s">
        <v>173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79</v>
      </c>
      <c r="B67">
        <f>IFERROR(_xlfn.XLOOKUP(A67,'Appendix A'!A:A,'Appendix A'!J:J),"")</f>
        <v>109.65</v>
      </c>
      <c r="C67" t="s">
        <v>227</v>
      </c>
      <c r="D67" t="s">
        <v>228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81</v>
      </c>
      <c r="B68">
        <f>IFERROR(_xlfn.XLOOKUP(A68,'Appendix A'!A:A,'Appendix A'!J:J),"")</f>
        <v>113.87</v>
      </c>
      <c r="C68" t="s">
        <v>167</v>
      </c>
      <c r="D68" t="s">
        <v>174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A69" t="s">
        <v>82</v>
      </c>
      <c r="B69">
        <f>IFERROR(_xlfn.XLOOKUP(A69,'Appendix A'!A:A,'Appendix A'!J:J),"")</f>
        <v>110.38</v>
      </c>
      <c r="C69" t="s">
        <v>168</v>
      </c>
      <c r="D69" t="s">
        <v>175</v>
      </c>
      <c r="E69" t="e" cm="1">
        <f t="array" ref="E69">_xll.ReadKSpice(_xlfn.CONCAT("/",$B$1,"/",$B$2,"/",D69,"@V_Unit=",F69))</f>
        <v>#N/A</v>
      </c>
      <c r="F69" t="s">
        <v>14</v>
      </c>
      <c r="G69" t="e">
        <f t="shared" si="3"/>
        <v>#N/A</v>
      </c>
    </row>
    <row r="70" spans="1:8" x14ac:dyDescent="0.3">
      <c r="G70" t="s">
        <v>202</v>
      </c>
    </row>
    <row r="71" spans="1:8" x14ac:dyDescent="0.3">
      <c r="A71" s="8" t="s">
        <v>27</v>
      </c>
      <c r="C71" s="7"/>
      <c r="D71" s="7"/>
      <c r="E71" s="7"/>
      <c r="F71" s="7"/>
      <c r="G71" s="7" t="s">
        <v>202</v>
      </c>
      <c r="H71" s="7"/>
    </row>
    <row r="72" spans="1:8" x14ac:dyDescent="0.3">
      <c r="A72" t="s">
        <v>60</v>
      </c>
      <c r="B72">
        <f>IFERROR(_xlfn.XLOOKUP(A72,'Appendix A'!A:A,'Appendix A'!J:J),"")</f>
        <v>5.42</v>
      </c>
      <c r="C72" t="s">
        <v>176</v>
      </c>
      <c r="D72" t="s">
        <v>181</v>
      </c>
      <c r="E72" t="e" cm="1">
        <f t="array" ref="E72">_xll.ReadKSpice(_xlfn.CONCAT("/",$B$1,"/",$B$2,"/",D72,"@V_Unit=",F72))</f>
        <v>#N/A</v>
      </c>
      <c r="F72" t="s">
        <v>33</v>
      </c>
      <c r="G72" t="e">
        <f t="shared" ref="G72:G77" si="4">100*(E72-B72)/B72</f>
        <v>#N/A</v>
      </c>
    </row>
    <row r="73" spans="1:8" x14ac:dyDescent="0.3">
      <c r="A73" t="s">
        <v>63</v>
      </c>
      <c r="B73">
        <f>IFERROR(_xlfn.XLOOKUP(A73,'Appendix A'!A:A,'Appendix A'!J:J),"")</f>
        <v>8.26</v>
      </c>
      <c r="C73" t="s">
        <v>177</v>
      </c>
      <c r="D73" t="s">
        <v>182</v>
      </c>
      <c r="E73" t="e" cm="1">
        <f t="array" ref="E73">_xll.ReadKSpice(_xlfn.CONCAT("/",$B$1,"/",$B$2,"/",D73,"@V_Unit=",F73))</f>
        <v>#N/A</v>
      </c>
      <c r="F73" t="s">
        <v>41</v>
      </c>
      <c r="G73" t="e">
        <f t="shared" si="4"/>
        <v>#N/A</v>
      </c>
    </row>
    <row r="74" spans="1:8" x14ac:dyDescent="0.3">
      <c r="A74" t="s">
        <v>65</v>
      </c>
      <c r="B74">
        <f>IFERROR(_xlfn.XLOOKUP(A74,'Appendix A'!A:A,'Appendix A'!J:J),"")</f>
        <v>54.4</v>
      </c>
      <c r="C74" t="s">
        <v>226</v>
      </c>
      <c r="D74" t="s">
        <v>225</v>
      </c>
      <c r="E74" t="e" cm="1">
        <f t="array" ref="E74">_xll.ReadKSpice(_xlfn.CONCAT("/",$B$1,"/",$B$2,"/",D74,"@V_Unit=",F74))</f>
        <v>#N/A</v>
      </c>
      <c r="F74" t="s">
        <v>217</v>
      </c>
      <c r="G74" t="e">
        <f t="shared" si="4"/>
        <v>#N/A</v>
      </c>
    </row>
    <row r="75" spans="1:8" x14ac:dyDescent="0.3">
      <c r="A75" t="s">
        <v>68</v>
      </c>
      <c r="B75">
        <f>IFERROR(_xlfn.XLOOKUP(A75,'Appendix A'!A:A,'Appendix A'!J:J),"")</f>
        <v>0.7</v>
      </c>
      <c r="C75" t="s">
        <v>178</v>
      </c>
      <c r="D75" t="s">
        <v>183</v>
      </c>
      <c r="E75" t="e" cm="1">
        <f t="array" ref="E75">_xll.ReadKSpice(_xlfn.CONCAT("/",$B$1,"/",$B$2,"/",D75,"@V_Unit=",F75))</f>
        <v>#N/A</v>
      </c>
      <c r="F75" t="s">
        <v>51</v>
      </c>
      <c r="G75" t="e">
        <f t="shared" si="4"/>
        <v>#N/A</v>
      </c>
    </row>
    <row r="76" spans="1:8" x14ac:dyDescent="0.3">
      <c r="A76" t="s">
        <v>80</v>
      </c>
      <c r="B76">
        <f>IFERROR(_xlfn.XLOOKUP(A76,'Appendix A'!A:A,'Appendix A'!J:J),"")</f>
        <v>15.51</v>
      </c>
      <c r="C76" t="s">
        <v>179</v>
      </c>
      <c r="D76" t="s">
        <v>184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A77" t="s">
        <v>206</v>
      </c>
      <c r="B77">
        <f>IFERROR(_xlfn.XLOOKUP(A77,'Appendix A'!A:A,'Appendix A'!J:J),"")</f>
        <v>116.16</v>
      </c>
      <c r="C77" t="s">
        <v>180</v>
      </c>
      <c r="D77" t="s">
        <v>185</v>
      </c>
      <c r="E77" t="e" cm="1">
        <f t="array" ref="E77">_xll.ReadKSpice(_xlfn.CONCAT("/",$B$1,"/",$B$2,"/",D77,"@V_Unit=",F77))</f>
        <v>#N/A</v>
      </c>
      <c r="F77" t="s">
        <v>14</v>
      </c>
      <c r="G77" t="e">
        <f t="shared" si="4"/>
        <v>#N/A</v>
      </c>
    </row>
    <row r="78" spans="1:8" x14ac:dyDescent="0.3">
      <c r="G78" t="s">
        <v>202</v>
      </c>
    </row>
    <row r="79" spans="1:8" x14ac:dyDescent="0.3">
      <c r="A79" s="6" t="s">
        <v>28</v>
      </c>
      <c r="C79" s="7"/>
      <c r="D79" s="7"/>
      <c r="E79" s="7"/>
      <c r="F79" s="7"/>
      <c r="G79" s="7" t="s">
        <v>202</v>
      </c>
      <c r="H79" s="7"/>
    </row>
    <row r="80" spans="1:8" x14ac:dyDescent="0.3">
      <c r="A80" t="s">
        <v>61</v>
      </c>
      <c r="B80">
        <f>IFERROR(_xlfn.XLOOKUP(A80,'Appendix A'!A:A,'Appendix A'!J:J),"")</f>
        <v>3.25</v>
      </c>
      <c r="C80" t="s">
        <v>186</v>
      </c>
      <c r="D80" t="s">
        <v>187</v>
      </c>
      <c r="E80" t="e" cm="1">
        <f t="array" ref="E80">_xll.ReadKSpice(_xlfn.CONCAT("/",$B$1,"/",$B$2,"/",D80,"@V_Unit=",F80))</f>
        <v>#N/A</v>
      </c>
      <c r="F80" t="s">
        <v>33</v>
      </c>
      <c r="G80" t="e">
        <f>100*(E80-B80)/B80</f>
        <v>#N/A</v>
      </c>
    </row>
    <row r="81" spans="1:8" x14ac:dyDescent="0.3">
      <c r="A81" t="s">
        <v>69</v>
      </c>
      <c r="B81">
        <f>IFERROR(_xlfn.XLOOKUP(A81,'Appendix A'!A:A,'Appendix A'!J:J),"")</f>
        <v>0.7</v>
      </c>
      <c r="C81" t="s">
        <v>223</v>
      </c>
      <c r="D81" t="s">
        <v>224</v>
      </c>
      <c r="E81" t="e" cm="1">
        <f t="array" ref="E81">_xll.ReadKSpice(_xlfn.CONCAT("/",$B$1,"/",$B$2,"/",D81,"@V_Unit=",F81))</f>
        <v>#N/A</v>
      </c>
      <c r="F81" t="s">
        <v>51</v>
      </c>
      <c r="G81" t="e">
        <f>100*(E81-B81)/B81</f>
        <v>#N/A</v>
      </c>
    </row>
    <row r="82" spans="1:8" x14ac:dyDescent="0.3">
      <c r="G82" t="s">
        <v>202</v>
      </c>
    </row>
    <row r="83" spans="1:8" x14ac:dyDescent="0.3">
      <c r="A83" s="6" t="s">
        <v>99</v>
      </c>
      <c r="B83" t="str">
        <f>IFERROR(_xlfn.XLOOKUP(A83,'Appendix A'!A:A,'Appendix A'!D:D),"")</f>
        <v/>
      </c>
      <c r="C83" s="7"/>
      <c r="D83" s="7"/>
      <c r="E83" s="7"/>
      <c r="F83" s="7"/>
      <c r="G83" s="7" t="s">
        <v>202</v>
      </c>
      <c r="H83" s="7"/>
    </row>
    <row r="84" spans="1:8" x14ac:dyDescent="0.3">
      <c r="A84" t="s">
        <v>92</v>
      </c>
      <c r="B84">
        <f>IFERROR(_xlfn.XLOOKUP(A84,'Appendix A'!A:A,'Appendix A'!J:J),"")</f>
        <v>39.770000000000003</v>
      </c>
      <c r="C84" t="s">
        <v>188</v>
      </c>
      <c r="D84" t="s">
        <v>191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</row>
    <row r="85" spans="1:8" x14ac:dyDescent="0.3">
      <c r="A85" t="s">
        <v>135</v>
      </c>
      <c r="B85" t="str">
        <f>IFERROR(_xlfn.XLOOKUP(A85,'Appendix A'!A:A,'Appendix A'!J:J),"")</f>
        <v/>
      </c>
      <c r="C85" t="s">
        <v>189</v>
      </c>
      <c r="D85" t="s">
        <v>192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  <c r="H85" t="s">
        <v>136</v>
      </c>
    </row>
    <row r="86" spans="1:8" x14ac:dyDescent="0.3">
      <c r="A86" t="s">
        <v>78</v>
      </c>
      <c r="B86">
        <f>IFERROR(_xlfn.XLOOKUP(A86,'Appendix A'!A:A,'Appendix A'!J:J),"")</f>
        <v>110.81</v>
      </c>
      <c r="C86" t="s">
        <v>190</v>
      </c>
      <c r="D86" t="s">
        <v>193</v>
      </c>
      <c r="E86" t="e" cm="1">
        <f t="array" ref="E86">_xll.ReadKSpice(_xlfn.CONCAT("/",$B$1,"/",$B$2,"/",D86,"@V_Unit=",F86))</f>
        <v>#N/A</v>
      </c>
      <c r="F86" t="s">
        <v>14</v>
      </c>
      <c r="G86" t="e">
        <f>100*(E86-B86)/B86</f>
        <v>#N/A</v>
      </c>
    </row>
    <row r="87" spans="1:8" x14ac:dyDescent="0.3">
      <c r="G87" t="s">
        <v>202</v>
      </c>
    </row>
    <row r="88" spans="1:8" x14ac:dyDescent="0.3">
      <c r="A88" s="6" t="s">
        <v>100</v>
      </c>
      <c r="C88" s="7"/>
      <c r="D88" s="7"/>
      <c r="E88" s="7"/>
      <c r="F88" s="7"/>
      <c r="G88" s="7" t="s">
        <v>202</v>
      </c>
      <c r="H88" s="7"/>
    </row>
    <row r="89" spans="1:8" x14ac:dyDescent="0.3">
      <c r="A89" t="s">
        <v>89</v>
      </c>
      <c r="B89">
        <f>IFERROR(_xlfn.XLOOKUP(A89,'Appendix A'!A:A,'Appendix A'!J:J),"")</f>
        <v>30.63</v>
      </c>
      <c r="C89" t="s">
        <v>194</v>
      </c>
      <c r="D89" t="s">
        <v>196</v>
      </c>
      <c r="E89" t="e" cm="1">
        <f t="array" ref="E89">_xll.ReadKSpice(_xlfn.CONCAT("/",$B$1,"/",$B$2,"/",D89,"@V_Unit=",F89))</f>
        <v>#N/A</v>
      </c>
      <c r="F89" t="s">
        <v>14</v>
      </c>
      <c r="G89" t="e">
        <f>100*(E89-B89)/B89</f>
        <v>#N/A</v>
      </c>
      <c r="H89" s="3"/>
    </row>
    <row r="90" spans="1:8" x14ac:dyDescent="0.3">
      <c r="G90" t="s">
        <v>202</v>
      </c>
    </row>
    <row r="91" spans="1:8" x14ac:dyDescent="0.3">
      <c r="A91" s="6" t="s">
        <v>101</v>
      </c>
      <c r="C91" s="7"/>
      <c r="D91" s="7"/>
      <c r="E91" s="7"/>
      <c r="F91" s="7"/>
      <c r="G91" s="7" t="s">
        <v>202</v>
      </c>
      <c r="H91" s="7"/>
    </row>
    <row r="92" spans="1:8" x14ac:dyDescent="0.3">
      <c r="A92" t="s">
        <v>90</v>
      </c>
      <c r="B92">
        <f>IFERROR(_xlfn.XLOOKUP(A92,'Appendix A'!A:A,'Appendix A'!J:J),"")</f>
        <v>18.940000000000001</v>
      </c>
      <c r="C92" t="s">
        <v>195</v>
      </c>
      <c r="D92" t="s">
        <v>197</v>
      </c>
      <c r="E92" t="e" cm="1">
        <f t="array" ref="E92">_xll.ReadKSpice(_xlfn.CONCAT("/",$B$1,"/",$B$2,"/",D92,"@V_Unit=",F92))</f>
        <v>#N/A</v>
      </c>
      <c r="F92" t="s">
        <v>14</v>
      </c>
      <c r="G92" t="e">
        <f>100*(E92-B92)/B92</f>
        <v>#N/A</v>
      </c>
    </row>
    <row r="93" spans="1:8" x14ac:dyDescent="0.3">
      <c r="G93" t="s">
        <v>202</v>
      </c>
    </row>
    <row r="94" spans="1:8" x14ac:dyDescent="0.3">
      <c r="A94" s="6" t="s">
        <v>102</v>
      </c>
      <c r="C94" s="7"/>
      <c r="D94" s="7"/>
      <c r="E94" s="7"/>
      <c r="F94" s="7"/>
      <c r="G94" s="7" t="s">
        <v>202</v>
      </c>
      <c r="H94" s="7"/>
    </row>
    <row r="95" spans="1:8" x14ac:dyDescent="0.3">
      <c r="A95" t="s">
        <v>62</v>
      </c>
      <c r="B95">
        <f>IFERROR(_xlfn.XLOOKUP(A95,'Appendix A'!A:A,'Appendix A'!J:J),"")</f>
        <v>251.49</v>
      </c>
      <c r="E95" t="e" cm="1">
        <f t="array" ref="E95">_xll.ReadKSpice(_xlfn.CONCAT("/",$B$1,"/",$B$2,"/",D95,"@V_Unit=",F95))</f>
        <v>#N/A</v>
      </c>
      <c r="F95" t="s">
        <v>33</v>
      </c>
      <c r="G95" t="e">
        <f>100*(E95-B95)/B95</f>
        <v>#N/A</v>
      </c>
    </row>
    <row r="96" spans="1:8" s="3" customFormat="1" x14ac:dyDescent="0.3">
      <c r="A96" t="s">
        <v>71</v>
      </c>
      <c r="B96">
        <f>IFERROR(_xlfn.XLOOKUP(A96,'Appendix A'!A:A,'Appendix A'!J:J),"")</f>
        <v>1.0589999999999999</v>
      </c>
      <c r="C96"/>
      <c r="D96"/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7" x14ac:dyDescent="0.3">
      <c r="A97" t="s">
        <v>72</v>
      </c>
      <c r="B97">
        <f>IFERROR(_xlfn.XLOOKUP(A97,'Appendix A'!A:A,'Appendix A'!J:J),"")</f>
        <v>1.073</v>
      </c>
      <c r="E97" t="e" cm="1">
        <f t="array" ref="E97">_xll.ReadKSpice(_xlfn.CONCAT("/",$B$1,"/",$B$2,"/",D97,"@V_Unit=",F97))</f>
        <v>#N/A</v>
      </c>
      <c r="F97" t="s">
        <v>95</v>
      </c>
      <c r="G97" t="e">
        <f>100*(E97-B97)/B97</f>
        <v>#N/A</v>
      </c>
    </row>
    <row r="98" spans="1:7" x14ac:dyDescent="0.3">
      <c r="A98" t="s">
        <v>77</v>
      </c>
      <c r="B98">
        <f>IFERROR(_xlfn.XLOOKUP(A98,'Appendix A'!A:A,'Appendix A'!J:J),"")</f>
        <v>36.24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7" x14ac:dyDescent="0.3">
      <c r="A99" t="s">
        <v>91</v>
      </c>
      <c r="B99">
        <f>IFERROR(_xlfn.XLOOKUP(A99,'Appendix A'!A:A,'Appendix A'!J:J),"")</f>
        <v>36.840000000000003</v>
      </c>
      <c r="E99" t="e" cm="1">
        <f t="array" ref="E99">_xll.ReadKSpice(_xlfn.CONCAT("/",$B$1,"/",$B$2,"/",D99,"@V_Unit=",F99))</f>
        <v>#N/A</v>
      </c>
      <c r="F99" t="s">
        <v>14</v>
      </c>
      <c r="G99" t="e">
        <f>100*(E99-B99)/B99</f>
        <v>#N/A</v>
      </c>
    </row>
    <row r="100" spans="1:7" x14ac:dyDescent="0.3">
      <c r="B100" s="9"/>
    </row>
    <row r="121" spans="1:4" x14ac:dyDescent="0.3">
      <c r="A121" s="3"/>
    </row>
    <row r="122" spans="1:4" x14ac:dyDescent="0.3">
      <c r="C122" s="10"/>
      <c r="D122" s="10"/>
    </row>
    <row r="126" spans="1:4" x14ac:dyDescent="0.3">
      <c r="A126" s="3"/>
    </row>
    <row r="132" spans="1:4" x14ac:dyDescent="0.3">
      <c r="A132" s="1"/>
      <c r="C132" s="1"/>
      <c r="D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  <row r="139" spans="1:4" x14ac:dyDescent="0.3">
      <c r="A139" s="1"/>
    </row>
  </sheetData>
  <conditionalFormatting sqref="G13:G99">
    <cfRule type="expression" dxfId="2" priority="1">
      <formula>ABS(G13)&gt;10</formula>
    </cfRule>
    <cfRule type="expression" dxfId="1" priority="2">
      <formula>AND(ABS(G13)&gt;=5,ABS(G13)&lt;10)</formula>
    </cfRule>
    <cfRule type="expression" dxfId="0" priority="3">
      <formula>ABS(G13)&lt;5</formula>
    </cfRule>
  </conditionalFormatting>
  <pageMargins left="0.7" right="0.7" top="0.75" bottom="0.75" header="0.3" footer="0.3"/>
  <headerFooter>
    <oddFooter>&amp;C_x000D_&amp;1#&amp;"Aptos"&amp;14&amp;K000000 KDI LIMITED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036876673CFEC46BCD76A156DB0EDB7" ma:contentTypeVersion="3" ma:contentTypeDescription="Opprett et nytt dokument." ma:contentTypeScope="" ma:versionID="888a8248ff98e23a0319745380717b58">
  <xsd:schema xmlns:xsd="http://www.w3.org/2001/XMLSchema" xmlns:xs="http://www.w3.org/2001/XMLSchema" xmlns:p="http://schemas.microsoft.com/office/2006/metadata/properties" xmlns:ns2="ff8e6262-2a7a-49d9-9e6a-a9de61d2ef50" targetNamespace="http://schemas.microsoft.com/office/2006/metadata/properties" ma:root="true" ma:fieldsID="b65d8868b505aaa1027cfc51b51d5133" ns2:_="">
    <xsd:import namespace="ff8e6262-2a7a-49d9-9e6a-a9de61d2ef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e6262-2a7a-49d9-9e6a-a9de61d2e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48BEB2-461E-4C8E-9111-F3B7B3EEF147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ba3c1f1-adf9-4689-94c5-222692edcb2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4C74204-B257-4774-95D3-48DA2FC77A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A379CF-09D0-4F6B-BD83-5C1660CBB2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e6262-2a7a-49d9-9e6a-a9de61d2e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b8294be-1daf-4d3e-a6ad-d65452cc3d53}" enabled="1" method="Standard" siteId="{bf7cb870-b378-42ab-a618-31704bc2e9b7}" removed="0"/>
  <clbl:label id="{bc758dd0-ab53-4372-9a7c-e98a9620862c}" enabled="0" method="" siteId="{bc758dd0-ab53-4372-9a7c-e98a962086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Appendix A</vt:lpstr>
      <vt:lpstr>SS case 1</vt:lpstr>
      <vt:lpstr>SS case 1 (v19.7_CL)</vt:lpstr>
      <vt:lpstr>SS case 2</vt:lpstr>
      <vt:lpstr>SS case 3</vt:lpstr>
      <vt:lpstr>SS case 4</vt:lpstr>
      <vt:lpstr>SS case 5</vt:lpstr>
      <vt:lpstr>SS case 6</vt:lpstr>
      <vt:lpstr>SS case 7</vt:lpstr>
      <vt:lpstr>SS case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Vetle Bø Søli</dc:creator>
  <cp:keywords/>
  <dc:description/>
  <cp:lastModifiedBy>Vetle Bø Søli</cp:lastModifiedBy>
  <cp:revision/>
  <dcterms:created xsi:type="dcterms:W3CDTF">2026-04-16T07:14:57Z</dcterms:created>
  <dcterms:modified xsi:type="dcterms:W3CDTF">2026-05-06T09:12:42Z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0x0101004036876673CFEC46BCD76A156DB0EDB7</vt:lpwstr>
  </property>
</Properties>
</file>